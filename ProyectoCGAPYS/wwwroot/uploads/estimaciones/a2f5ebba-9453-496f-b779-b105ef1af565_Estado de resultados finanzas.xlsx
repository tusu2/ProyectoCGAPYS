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u\Downloads\"/>
    </mc:Choice>
  </mc:AlternateContent>
  <xr:revisionPtr revIDLastSave="0" documentId="8_{A0828CC2-C215-4BC3-AA73-DBB66CEEE8C7}" xr6:coauthVersionLast="47" xr6:coauthVersionMax="47" xr10:uidLastSave="{00000000-0000-0000-0000-000000000000}"/>
  <bookViews>
    <workbookView xWindow="-28920" yWindow="-120" windowWidth="29040" windowHeight="15720" firstSheet="1" activeTab="2" xr2:uid="{29BD3E69-0DAD-425C-BCE7-3FD22B5230FF}"/>
  </bookViews>
  <sheets>
    <sheet name="Hoja1" sheetId="1" r:id="rId1"/>
    <sheet name="SALDAÑA CUENTAS BALANCE" sheetId="2" r:id="rId2"/>
    <sheet name="CIA CAPRICORNIO BALANCE" sheetId="7" r:id="rId3"/>
    <sheet name="SALDAÑA" sheetId="5" r:id="rId4"/>
    <sheet name="CIA CAPRICORNIO RESULTADOS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7" l="1"/>
  <c r="I10" i="7"/>
  <c r="I20" i="7" s="1"/>
  <c r="F17" i="7"/>
  <c r="F10" i="7"/>
  <c r="F20" i="7" s="1"/>
  <c r="I25" i="6" l="1"/>
  <c r="I21" i="6"/>
  <c r="F12" i="6"/>
  <c r="F15" i="6" s="1"/>
  <c r="I18" i="6" s="1"/>
  <c r="H8" i="6"/>
  <c r="H6" i="6"/>
  <c r="I9" i="6" s="1"/>
  <c r="I19" i="6" s="1"/>
  <c r="I22" i="6" s="1"/>
  <c r="I26" i="6" s="1"/>
  <c r="I27" i="6" l="1"/>
  <c r="I28" i="6" s="1"/>
  <c r="I24" i="5"/>
  <c r="F11" i="5"/>
  <c r="G14" i="5" s="1"/>
  <c r="I17" i="5" s="1"/>
  <c r="H7" i="5"/>
  <c r="H5" i="5"/>
  <c r="I8" i="5" s="1"/>
  <c r="I18" i="5" s="1"/>
  <c r="I21" i="5" s="1"/>
  <c r="I25" i="5" s="1"/>
  <c r="L23" i="2"/>
  <c r="I26" i="5" l="1"/>
  <c r="I27" i="5" s="1"/>
  <c r="K6" i="2"/>
  <c r="K4" i="2"/>
  <c r="L7" i="2" s="1"/>
  <c r="I10" i="2"/>
  <c r="I7" i="2"/>
  <c r="H25" i="1"/>
  <c r="H20" i="1"/>
  <c r="E12" i="1"/>
  <c r="F14" i="1" s="1"/>
  <c r="H17" i="1" s="1"/>
  <c r="G8" i="1"/>
  <c r="G6" i="1"/>
  <c r="H9" i="1" s="1"/>
  <c r="H18" i="1" s="1"/>
  <c r="H21" i="1" s="1"/>
  <c r="H26" i="1" s="1"/>
  <c r="H28" i="1"/>
  <c r="I16" i="2" l="1"/>
  <c r="I17" i="2" s="1"/>
  <c r="I20" i="2" s="1"/>
  <c r="I24" i="2" s="1"/>
  <c r="J13" i="2"/>
  <c r="L16" i="2" s="1"/>
  <c r="L17" i="2"/>
  <c r="L20" i="2" s="1"/>
  <c r="L24" i="2" s="1"/>
  <c r="L25" i="2" s="1"/>
  <c r="L26" i="2"/>
  <c r="I25" i="2"/>
  <c r="I26" i="2" s="1"/>
  <c r="H30" i="1"/>
</calcChain>
</file>

<file path=xl/sharedStrings.xml><?xml version="1.0" encoding="utf-8"?>
<sst xmlns="http://schemas.openxmlformats.org/spreadsheetml/2006/main" count="254" uniqueCount="163">
  <si>
    <t>CIA. GAFI S.A de C.V  AL 31 DE MARZO DEL 2022</t>
  </si>
  <si>
    <t>Ventas a crédito</t>
  </si>
  <si>
    <t>Ventas de contado</t>
  </si>
  <si>
    <t>(=) Ventas totales</t>
  </si>
  <si>
    <t>Rebajas sobre ventas</t>
  </si>
  <si>
    <t>GASTOS FINCIEROS</t>
  </si>
  <si>
    <t>Devoluciones sobre venta</t>
  </si>
  <si>
    <t>PRODUCTOS FINANCIEROS</t>
  </si>
  <si>
    <t>Ventas netas</t>
  </si>
  <si>
    <t>OTROS INGRESOS</t>
  </si>
  <si>
    <t>Compras</t>
  </si>
  <si>
    <t>Gastos sobre compra</t>
  </si>
  <si>
    <t>Compras totales</t>
  </si>
  <si>
    <t xml:space="preserve">INVENTARIO INICIAL </t>
  </si>
  <si>
    <t>Rebaja sobre compra</t>
  </si>
  <si>
    <t xml:space="preserve">REBAJAS SOBRE VENTAS </t>
  </si>
  <si>
    <t xml:space="preserve">(=)Compras netas </t>
  </si>
  <si>
    <t xml:space="preserve">DEVOLUCIONES SOBRE VENTAS </t>
  </si>
  <si>
    <t>(+)Inventario inicial</t>
  </si>
  <si>
    <t xml:space="preserve">COMPRAS </t>
  </si>
  <si>
    <t>(-)Inventario final</t>
  </si>
  <si>
    <t>GASTOS SOBRE COMPRA</t>
  </si>
  <si>
    <t>(=)COSTO DE VENTAS</t>
  </si>
  <si>
    <t>INVENTARIO FINAL</t>
  </si>
  <si>
    <t>Utilidad bruta</t>
  </si>
  <si>
    <t>DEVOLUCIONES SOBRE COMPRA</t>
  </si>
  <si>
    <t>Otros ingresos</t>
  </si>
  <si>
    <t>REBAJAS SOBRE COMPRA</t>
  </si>
  <si>
    <t>Productos financieros</t>
  </si>
  <si>
    <t>GASTOS DE VENTA</t>
  </si>
  <si>
    <t>Utilidad antes de gastos operación</t>
  </si>
  <si>
    <t>GASTOS DE ADMINISTRACION</t>
  </si>
  <si>
    <t>GASTOS DE OPERACIÓN</t>
  </si>
  <si>
    <t>Gastos financieros</t>
  </si>
  <si>
    <t>Aplicar ISR 30%</t>
  </si>
  <si>
    <t>Gastos de venta</t>
  </si>
  <si>
    <t>Gastos de administración</t>
  </si>
  <si>
    <t>Utilidad de operación</t>
  </si>
  <si>
    <t>ISR 30%</t>
  </si>
  <si>
    <t>UTILIDAD NETA</t>
  </si>
  <si>
    <t>Mueblería Saldaña S.A. de C.V.</t>
  </si>
  <si>
    <t>Cuentas de balance</t>
  </si>
  <si>
    <t>Ventas en efectivo</t>
  </si>
  <si>
    <t>VC</t>
  </si>
  <si>
    <t>Proveedores</t>
  </si>
  <si>
    <t>V CONT</t>
  </si>
  <si>
    <t>Capital social</t>
  </si>
  <si>
    <t>Caja</t>
  </si>
  <si>
    <t>(-) Rebajas sobre venta</t>
  </si>
  <si>
    <t>DEV S V</t>
  </si>
  <si>
    <t>Edificios</t>
  </si>
  <si>
    <t>(-) Dev sobre venta</t>
  </si>
  <si>
    <t>REB S VTA</t>
  </si>
  <si>
    <t>Almacen</t>
  </si>
  <si>
    <t>(=)Ventas netas</t>
  </si>
  <si>
    <t>V NETAS</t>
  </si>
  <si>
    <t>Deudores diversos</t>
  </si>
  <si>
    <t>COM</t>
  </si>
  <si>
    <t>Depreciación de equipo de oficina</t>
  </si>
  <si>
    <t>(+) Gastos sobre compra</t>
  </si>
  <si>
    <t>GTS S COMPRA</t>
  </si>
  <si>
    <t>Bancos</t>
  </si>
  <si>
    <t>(=) Compras totales</t>
  </si>
  <si>
    <t>C TOT</t>
  </si>
  <si>
    <t xml:space="preserve">Terrenos </t>
  </si>
  <si>
    <t>(-)Dev sobre compra</t>
  </si>
  <si>
    <t>DEV S COMP</t>
  </si>
  <si>
    <t>Acreedores diversos</t>
  </si>
  <si>
    <t>(-)Rebaja s/ compra</t>
  </si>
  <si>
    <t>REB S COMPRA</t>
  </si>
  <si>
    <t>Hipotecas por pagar</t>
  </si>
  <si>
    <t>(=)Compras Netas</t>
  </si>
  <si>
    <t>COM NETAS</t>
  </si>
  <si>
    <t xml:space="preserve">Impuestos por pagar </t>
  </si>
  <si>
    <t>Inv INICIAL</t>
  </si>
  <si>
    <t>INV INIC</t>
  </si>
  <si>
    <t>Utilidades retenidas</t>
  </si>
  <si>
    <t>Inv final</t>
  </si>
  <si>
    <t>INV FINAL</t>
  </si>
  <si>
    <t>Clientes</t>
  </si>
  <si>
    <t>(=) COSTO DE VENTAS</t>
  </si>
  <si>
    <t>CTO VENTAS</t>
  </si>
  <si>
    <t>Equipo de oficina</t>
  </si>
  <si>
    <t>(=)UTILIDAD BRUTA</t>
  </si>
  <si>
    <t>UT BRUTA</t>
  </si>
  <si>
    <t>Documentos por pagar a corto plazo</t>
  </si>
  <si>
    <t>OTROS ING</t>
  </si>
  <si>
    <t>Equipo de transporte</t>
  </si>
  <si>
    <t>PROD FINANC</t>
  </si>
  <si>
    <t>Depreciación eq. Transp</t>
  </si>
  <si>
    <t>UTILIDAD ANTES GTS OPERACIÓN</t>
  </si>
  <si>
    <t>UT. ANT GTS OP</t>
  </si>
  <si>
    <t>Reserva legal</t>
  </si>
  <si>
    <t>GTS ADMON</t>
  </si>
  <si>
    <t>GTS FINANC</t>
  </si>
  <si>
    <t>GTS VENTA</t>
  </si>
  <si>
    <t>GTS VTA</t>
  </si>
  <si>
    <t>GTS FINANCIEROS</t>
  </si>
  <si>
    <t>UTILIDAD OPERACIÓN</t>
  </si>
  <si>
    <t>UT OPERA</t>
  </si>
  <si>
    <t>ISR</t>
  </si>
  <si>
    <t>UTILIDADA NETA</t>
  </si>
  <si>
    <t>UT NETA</t>
  </si>
  <si>
    <t>BALANCE GENERAL CÍA CAPRICORNIO S.A. DE C.V.</t>
  </si>
  <si>
    <t>AL 31 DE MARZO DEL 2023</t>
  </si>
  <si>
    <t>ACTIVO</t>
  </si>
  <si>
    <t>PASIVO</t>
  </si>
  <si>
    <t>CAJA</t>
  </si>
  <si>
    <t>PROVEEDORES</t>
  </si>
  <si>
    <t>BANCOS</t>
  </si>
  <si>
    <t>ACREEDORES DIVERSOS</t>
  </si>
  <si>
    <t>ALMACÉN</t>
  </si>
  <si>
    <t>DOC X PAGAR A CORTO PLAZO</t>
  </si>
  <si>
    <t>CLIENTES</t>
  </si>
  <si>
    <t>IMPUESTOS POR PAGAR</t>
  </si>
  <si>
    <t>DEUDORES DIVERSOS</t>
  </si>
  <si>
    <t>ACTIVO CIRCULANTE</t>
  </si>
  <si>
    <t>TOTAL PASIVO A CORTO PLAZO</t>
  </si>
  <si>
    <t>ACTIVO FIJO</t>
  </si>
  <si>
    <t>DOC.  POR PAGAR A LARGO PLAZO</t>
  </si>
  <si>
    <t>Documentos por pag largo plazp</t>
  </si>
  <si>
    <t>TERRENOS</t>
  </si>
  <si>
    <t>EDIFICIOS</t>
  </si>
  <si>
    <t>CAPITAL</t>
  </si>
  <si>
    <t>EQUIPO DE OFICINA</t>
  </si>
  <si>
    <t>CAPITAL SOCIAL</t>
  </si>
  <si>
    <t>DEPRECIACIÓN EQ. OFICINA</t>
  </si>
  <si>
    <t>UTILIDADES RETENIDAS</t>
  </si>
  <si>
    <t>TOTAL ACTIVO FIJO</t>
  </si>
  <si>
    <t>TOTAL DE CAPITAL</t>
  </si>
  <si>
    <t>SUMA DE ACTIVO</t>
  </si>
  <si>
    <t>SUMA PASIVO + CAPITAL</t>
  </si>
  <si>
    <t xml:space="preserve">ESTADO DE RESULTADOS </t>
  </si>
  <si>
    <t>MUEBLERÍA SALDAÑA AL 31 MARZO 2023</t>
  </si>
  <si>
    <t>(-) Devoluciones s/ ventas</t>
  </si>
  <si>
    <t>(-)Rebajas s/ ventas</t>
  </si>
  <si>
    <t>Gts. s/ compra</t>
  </si>
  <si>
    <t>(=)Compras totales</t>
  </si>
  <si>
    <t>Devoluciones s/compra</t>
  </si>
  <si>
    <t>Rebajas sobre compra</t>
  </si>
  <si>
    <t>(=)Compras netas</t>
  </si>
  <si>
    <t>Inv. Inicial</t>
  </si>
  <si>
    <t>Inv. Final</t>
  </si>
  <si>
    <t>GASTOS FINANCIEROS</t>
  </si>
  <si>
    <t>GASTOS DE ADMÓN</t>
  </si>
  <si>
    <t>(=)UTILIDAD DE OPERACIÓN</t>
  </si>
  <si>
    <t>CIA CAPRICORNIO S.A deC.V</t>
  </si>
  <si>
    <t>CIA. CAPRICORNIO S.A. DE C.V.</t>
  </si>
  <si>
    <t>(-)Dev s/ ventas</t>
  </si>
  <si>
    <t>(-)Rebajas s/venta</t>
  </si>
  <si>
    <t>COMPRAS</t>
  </si>
  <si>
    <t>Rebajas s/compra</t>
  </si>
  <si>
    <t>(=)COMPRAS NETAS</t>
  </si>
  <si>
    <t>(+)INVENTARIO INICIAL</t>
  </si>
  <si>
    <t>(-)INVENTARIO FINAL</t>
  </si>
  <si>
    <t>(=)Utilidad bruta</t>
  </si>
  <si>
    <t>(=)Utilidad antes de gastos de operación</t>
  </si>
  <si>
    <t>Gastos de ventas</t>
  </si>
  <si>
    <t>E</t>
  </si>
  <si>
    <t>F</t>
  </si>
  <si>
    <t>M</t>
  </si>
  <si>
    <t>A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</si>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</sst>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3" fontId="0" fillId="2" borderId="0" xfId="0" applyNumberFormat="1" applyFill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2" xfId="0" applyNumberFormat="1" applyBorder="1"/>
    <xf numFmtId="3" fontId="0" fillId="0" borderId="0" xfId="0" applyNumberFormat="1"/>
    <xf numFmtId="0" fontId="1" fillId="0" borderId="7" xfId="0" applyFont="1" applyBorder="1"/>
    <xf numFmtId="3" fontId="0" fillId="0" borderId="3" xfId="0" applyNumberFormat="1" applyBorder="1"/>
    <xf numFmtId="3" fontId="0" fillId="0" borderId="9" xfId="0" applyNumberFormat="1" applyBorder="1"/>
    <xf numFmtId="0" fontId="1" fillId="0" borderId="3" xfId="0" applyFont="1" applyBorder="1"/>
    <xf numFmtId="0" fontId="1" fillId="0" borderId="0" xfId="0" applyFont="1"/>
    <xf numFmtId="3" fontId="0" fillId="0" borderId="7" xfId="0" applyNumberFormat="1" applyBorder="1"/>
    <xf numFmtId="3" fontId="1" fillId="0" borderId="7" xfId="0" applyNumberFormat="1" applyFont="1" applyBorder="1"/>
    <xf numFmtId="3" fontId="0" fillId="0" borderId="8" xfId="0" applyNumberFormat="1" applyBorder="1"/>
    <xf numFmtId="0" fontId="1" fillId="2" borderId="0" xfId="0" applyFont="1" applyFill="1"/>
    <xf numFmtId="3" fontId="1" fillId="0" borderId="0" xfId="0" applyNumberFormat="1" applyFont="1"/>
    <xf numFmtId="3" fontId="0" fillId="0" borderId="6" xfId="0" applyNumberFormat="1" applyBorder="1"/>
    <xf numFmtId="0" fontId="0" fillId="3" borderId="0" xfId="0" applyFill="1"/>
    <xf numFmtId="3" fontId="0" fillId="3" borderId="0" xfId="0" applyNumberFormat="1" applyFill="1"/>
    <xf numFmtId="0" fontId="0" fillId="4" borderId="0" xfId="0" applyFill="1"/>
    <xf numFmtId="41" fontId="0" fillId="4" borderId="0" xfId="0" applyNumberFormat="1" applyFill="1"/>
    <xf numFmtId="3" fontId="0" fillId="4" borderId="0" xfId="0" applyNumberFormat="1" applyFill="1"/>
    <xf numFmtId="0" fontId="0" fillId="5" borderId="0" xfId="0" applyFill="1"/>
    <xf numFmtId="3" fontId="0" fillId="5" borderId="0" xfId="0" applyNumberFormat="1" applyFill="1"/>
    <xf numFmtId="0" fontId="2" fillId="5" borderId="0" xfId="0" applyFont="1" applyFill="1"/>
    <xf numFmtId="3" fontId="2" fillId="5" borderId="0" xfId="0" applyNumberFormat="1" applyFont="1" applyFill="1"/>
    <xf numFmtId="0" fontId="1" fillId="5" borderId="0" xfId="0" applyFont="1" applyFill="1"/>
    <xf numFmtId="3" fontId="1" fillId="5" borderId="0" xfId="0" applyNumberFormat="1" applyFont="1" applyFill="1"/>
    <xf numFmtId="0" fontId="3" fillId="0" borderId="0" xfId="0" applyFont="1"/>
    <xf numFmtId="0" fontId="4" fillId="2" borderId="0" xfId="0" applyFont="1" applyFill="1"/>
    <xf numFmtId="3" fontId="4" fillId="2" borderId="0" xfId="0" applyNumberFormat="1" applyFont="1" applyFill="1"/>
    <xf numFmtId="0" fontId="4" fillId="0" borderId="0" xfId="0" applyFont="1"/>
    <xf numFmtId="0" fontId="5" fillId="2" borderId="0" xfId="0" applyFont="1" applyFill="1"/>
    <xf numFmtId="3" fontId="5" fillId="2" borderId="0" xfId="0" applyNumberFormat="1" applyFont="1" applyFill="1"/>
    <xf numFmtId="0" fontId="6" fillId="2" borderId="0" xfId="0" applyFont="1" applyFill="1"/>
    <xf numFmtId="3" fontId="6" fillId="2" borderId="0" xfId="0" applyNumberFormat="1" applyFont="1" applyFill="1"/>
    <xf numFmtId="0" fontId="0" fillId="0" borderId="2" xfId="0" applyBorder="1"/>
    <xf numFmtId="0" fontId="0" fillId="0" borderId="11" xfId="0" applyBorder="1"/>
    <xf numFmtId="0" fontId="0" fillId="0" borderId="12" xfId="0" applyBorder="1"/>
    <xf numFmtId="3" fontId="0" fillId="0" borderId="15" xfId="0" applyNumberFormat="1" applyBorder="1"/>
    <xf numFmtId="0" fontId="0" fillId="0" borderId="14" xfId="0" applyBorder="1"/>
    <xf numFmtId="3" fontId="0" fillId="0" borderId="12" xfId="0" applyNumberFormat="1" applyBorder="1"/>
    <xf numFmtId="0" fontId="0" fillId="0" borderId="15" xfId="0" applyBorder="1"/>
    <xf numFmtId="3" fontId="0" fillId="0" borderId="14" xfId="0" applyNumberFormat="1" applyBorder="1"/>
    <xf numFmtId="0" fontId="4" fillId="7" borderId="0" xfId="0" applyFont="1" applyFill="1"/>
    <xf numFmtId="3" fontId="4" fillId="7" borderId="0" xfId="0" applyNumberFormat="1" applyFont="1" applyFill="1"/>
    <xf numFmtId="3" fontId="1" fillId="0" borderId="12" xfId="0" applyNumberFormat="1" applyFont="1" applyBorder="1"/>
    <xf numFmtId="3" fontId="0" fillId="0" borderId="13" xfId="0" applyNumberFormat="1" applyBorder="1"/>
    <xf numFmtId="41" fontId="4" fillId="2" borderId="0" xfId="0" applyNumberFormat="1" applyFont="1" applyFill="1"/>
    <xf numFmtId="0" fontId="0" fillId="0" borderId="13" xfId="0" applyBorder="1"/>
    <xf numFmtId="0" fontId="1" fillId="8" borderId="0" xfId="0" applyFont="1" applyFill="1"/>
    <xf numFmtId="3" fontId="1" fillId="8" borderId="0" xfId="0" applyNumberFormat="1" applyFont="1" applyFill="1"/>
    <xf numFmtId="0" fontId="7" fillId="2" borderId="0" xfId="0" applyFont="1" applyFill="1"/>
    <xf numFmtId="0" fontId="7" fillId="0" borderId="0" xfId="0" applyFont="1"/>
    <xf numFmtId="41" fontId="4" fillId="7" borderId="0" xfId="0" applyNumberFormat="1" applyFont="1" applyFill="1"/>
    <xf numFmtId="0" fontId="4" fillId="6" borderId="0" xfId="0" applyFont="1" applyFill="1"/>
    <xf numFmtId="3" fontId="4" fillId="6" borderId="0" xfId="0" applyNumberFormat="1" applyFont="1" applyFill="1"/>
    <xf numFmtId="0" fontId="6" fillId="5" borderId="0" xfId="0" applyFont="1" applyFill="1"/>
    <xf numFmtId="3" fontId="6" fillId="5" borderId="0" xfId="0" applyNumberFormat="1" applyFont="1" applyFill="1"/>
    <xf numFmtId="0" fontId="5" fillId="5" borderId="0" xfId="0" applyFont="1" applyFill="1"/>
    <xf numFmtId="3" fontId="5" fillId="5" borderId="0" xfId="0" applyNumberFormat="1" applyFont="1" applyFill="1"/>
    <xf numFmtId="0" fontId="1" fillId="9" borderId="3" xfId="0" applyFont="1" applyFill="1" applyBorder="1"/>
    <xf numFmtId="0" fontId="1" fillId="9" borderId="0" xfId="0" applyFont="1" applyFill="1"/>
    <xf numFmtId="3" fontId="1" fillId="9" borderId="12" xfId="0" applyNumberFormat="1" applyFont="1" applyFill="1" applyBorder="1"/>
    <xf numFmtId="0" fontId="7" fillId="8" borderId="0" xfId="0" applyFont="1" applyFill="1"/>
    <xf numFmtId="3" fontId="7" fillId="8" borderId="0" xfId="0" applyNumberFormat="1" applyFont="1" applyFill="1"/>
    <xf numFmtId="0" fontId="7" fillId="10" borderId="0" xfId="0" applyFont="1" applyFill="1"/>
    <xf numFmtId="3" fontId="7" fillId="10" borderId="0" xfId="0" applyNumberFormat="1" applyFont="1" applyFill="1"/>
    <xf numFmtId="3" fontId="0" fillId="2" borderId="10" xfId="0" applyNumberFormat="1" applyFill="1" applyBorder="1"/>
    <xf numFmtId="3" fontId="1" fillId="2" borderId="0" xfId="0" applyNumberFormat="1" applyFont="1" applyFill="1"/>
    <xf numFmtId="0" fontId="3" fillId="2" borderId="0" xfId="0" applyFont="1" applyFill="1"/>
    <xf numFmtId="0" fontId="1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5CCD4-9543-42F9-B57F-5ADB09502B4D}">
  <dimension ref="A2:H31"/>
  <sheetViews>
    <sheetView topLeftCell="A2" zoomScale="120" zoomScaleNormal="120" workbookViewId="0">
      <selection activeCell="C24" sqref="C24"/>
    </sheetView>
  </sheetViews>
  <sheetFormatPr baseColWidth="10" defaultColWidth="11.42578125" defaultRowHeight="15" x14ac:dyDescent="0.25"/>
  <cols>
    <col min="1" max="1" width="53.85546875" bestFit="1" customWidth="1"/>
    <col min="2" max="2" width="11" bestFit="1" customWidth="1"/>
    <col min="4" max="4" width="25.7109375" customWidth="1"/>
    <col min="5" max="8" width="11.42578125" customWidth="1"/>
  </cols>
  <sheetData>
    <row r="2" spans="1:8" x14ac:dyDescent="0.25">
      <c r="D2" s="77" t="s">
        <v>0</v>
      </c>
      <c r="E2" s="77"/>
      <c r="F2" s="77"/>
      <c r="G2" s="77"/>
      <c r="H2" s="77"/>
    </row>
    <row r="3" spans="1:8" ht="15.75" thickBot="1" x14ac:dyDescent="0.3"/>
    <row r="4" spans="1:8" x14ac:dyDescent="0.25">
      <c r="A4" s="1"/>
      <c r="B4" s="1"/>
      <c r="D4" s="7" t="s">
        <v>1</v>
      </c>
      <c r="E4" s="3"/>
      <c r="F4" s="22"/>
      <c r="G4" s="10">
        <v>600000</v>
      </c>
      <c r="H4" s="7"/>
    </row>
    <row r="5" spans="1:8" x14ac:dyDescent="0.25">
      <c r="A5" s="1"/>
      <c r="B5" s="1"/>
      <c r="D5" s="8" t="s">
        <v>2</v>
      </c>
      <c r="E5" s="4"/>
      <c r="F5" s="17"/>
      <c r="G5" s="11">
        <v>3500000</v>
      </c>
      <c r="H5" s="8"/>
    </row>
    <row r="6" spans="1:8" x14ac:dyDescent="0.25">
      <c r="A6" s="1"/>
      <c r="B6" s="1"/>
      <c r="D6" s="8" t="s">
        <v>3</v>
      </c>
      <c r="E6" s="4"/>
      <c r="F6" s="8"/>
      <c r="G6" s="21">
        <f>+G4+G5</f>
        <v>4100000</v>
      </c>
      <c r="H6" s="8"/>
    </row>
    <row r="7" spans="1:8" x14ac:dyDescent="0.25">
      <c r="A7" s="20" t="s">
        <v>0</v>
      </c>
      <c r="B7" s="2"/>
      <c r="D7" s="8" t="s">
        <v>4</v>
      </c>
      <c r="E7" s="4"/>
      <c r="F7" s="17">
        <v>30000</v>
      </c>
      <c r="G7" s="11"/>
      <c r="H7" s="8"/>
    </row>
    <row r="8" spans="1:8" x14ac:dyDescent="0.25">
      <c r="A8" s="1" t="s">
        <v>5</v>
      </c>
      <c r="B8" s="2">
        <v>7500</v>
      </c>
      <c r="D8" s="8" t="s">
        <v>6</v>
      </c>
      <c r="E8" s="4"/>
      <c r="F8" s="17">
        <v>65000</v>
      </c>
      <c r="G8" s="11">
        <f>+F7+F8</f>
        <v>95000</v>
      </c>
      <c r="H8" s="8"/>
    </row>
    <row r="9" spans="1:8" x14ac:dyDescent="0.25">
      <c r="A9" s="23" t="s">
        <v>7</v>
      </c>
      <c r="B9" s="24">
        <v>1500</v>
      </c>
      <c r="C9" s="1"/>
      <c r="D9" s="12" t="s">
        <v>8</v>
      </c>
      <c r="E9" s="4"/>
      <c r="F9" s="8"/>
      <c r="H9" s="18">
        <f>+G6-G8</f>
        <v>4005000</v>
      </c>
    </row>
    <row r="10" spans="1:8" x14ac:dyDescent="0.25">
      <c r="A10" s="23" t="s">
        <v>9</v>
      </c>
      <c r="B10" s="24">
        <v>25000</v>
      </c>
      <c r="C10" s="1"/>
      <c r="D10" s="8" t="s">
        <v>10</v>
      </c>
      <c r="E10" s="13">
        <v>390000</v>
      </c>
      <c r="F10" s="8"/>
      <c r="H10" s="8"/>
    </row>
    <row r="11" spans="1:8" x14ac:dyDescent="0.25">
      <c r="A11" s="25" t="s">
        <v>1</v>
      </c>
      <c r="B11" s="26">
        <v>600000</v>
      </c>
      <c r="C11" s="1"/>
      <c r="D11" s="8" t="s">
        <v>11</v>
      </c>
      <c r="E11" s="14">
        <v>15000</v>
      </c>
      <c r="F11" s="8"/>
      <c r="H11" s="8"/>
    </row>
    <row r="12" spans="1:8" x14ac:dyDescent="0.25">
      <c r="A12" s="25" t="s">
        <v>2</v>
      </c>
      <c r="B12" s="26">
        <v>3500000</v>
      </c>
      <c r="C12" s="1"/>
      <c r="D12" s="8" t="s">
        <v>12</v>
      </c>
      <c r="E12" s="13">
        <f>+E10+E11</f>
        <v>405000</v>
      </c>
      <c r="F12" s="17"/>
      <c r="H12" s="8"/>
    </row>
    <row r="13" spans="1:8" x14ac:dyDescent="0.25">
      <c r="A13" s="30" t="s">
        <v>13</v>
      </c>
      <c r="B13" s="31">
        <v>150000</v>
      </c>
      <c r="C13" s="28"/>
      <c r="D13" s="8" t="s">
        <v>14</v>
      </c>
      <c r="E13" s="13">
        <v>40000</v>
      </c>
      <c r="F13" s="17"/>
      <c r="H13" s="8"/>
    </row>
    <row r="14" spans="1:8" x14ac:dyDescent="0.25">
      <c r="A14" s="25" t="s">
        <v>15</v>
      </c>
      <c r="B14" s="27">
        <v>30000</v>
      </c>
      <c r="C14" s="1"/>
      <c r="D14" s="8" t="s">
        <v>16</v>
      </c>
      <c r="E14" s="4"/>
      <c r="F14" s="17">
        <f>+E12-E13</f>
        <v>365000</v>
      </c>
      <c r="H14" s="8"/>
    </row>
    <row r="15" spans="1:8" x14ac:dyDescent="0.25">
      <c r="A15" s="25" t="s">
        <v>17</v>
      </c>
      <c r="B15" s="27">
        <v>65000</v>
      </c>
      <c r="C15" s="1"/>
      <c r="D15" s="8" t="s">
        <v>18</v>
      </c>
      <c r="E15" s="4"/>
      <c r="F15" s="17">
        <v>150000</v>
      </c>
      <c r="H15" s="8"/>
    </row>
    <row r="16" spans="1:8" x14ac:dyDescent="0.25">
      <c r="A16" s="28" t="s">
        <v>19</v>
      </c>
      <c r="B16" s="29">
        <v>390000</v>
      </c>
      <c r="C16" s="1"/>
      <c r="D16" s="12" t="s">
        <v>20</v>
      </c>
      <c r="E16" s="4"/>
      <c r="F16" s="18">
        <v>70000</v>
      </c>
      <c r="G16" s="11"/>
      <c r="H16" s="8"/>
    </row>
    <row r="17" spans="1:8" x14ac:dyDescent="0.25">
      <c r="A17" s="28" t="s">
        <v>21</v>
      </c>
      <c r="B17" s="29">
        <v>15000</v>
      </c>
      <c r="C17" s="1"/>
      <c r="D17" s="8" t="s">
        <v>22</v>
      </c>
      <c r="E17" s="4"/>
      <c r="F17" s="17"/>
      <c r="G17" s="11"/>
      <c r="H17" s="17">
        <f>+F14+F15-F16</f>
        <v>445000</v>
      </c>
    </row>
    <row r="18" spans="1:8" x14ac:dyDescent="0.25">
      <c r="A18" s="32" t="s">
        <v>23</v>
      </c>
      <c r="B18" s="33">
        <v>70000</v>
      </c>
      <c r="C18" s="28"/>
      <c r="D18" s="12" t="s">
        <v>24</v>
      </c>
      <c r="E18" s="15"/>
      <c r="F18" s="18"/>
      <c r="G18" s="16"/>
      <c r="H18" s="18">
        <f>+H9-H17</f>
        <v>3560000</v>
      </c>
    </row>
    <row r="19" spans="1:8" x14ac:dyDescent="0.25">
      <c r="A19" s="1" t="s">
        <v>25</v>
      </c>
      <c r="B19" s="2">
        <v>0</v>
      </c>
      <c r="C19" s="1"/>
      <c r="D19" s="12" t="s">
        <v>26</v>
      </c>
      <c r="E19" s="15"/>
      <c r="F19" s="18"/>
      <c r="G19" s="21">
        <v>25000</v>
      </c>
      <c r="H19" s="18"/>
    </row>
    <row r="20" spans="1:8" x14ac:dyDescent="0.25">
      <c r="A20" s="1" t="s">
        <v>27</v>
      </c>
      <c r="B20" s="2">
        <v>40000</v>
      </c>
      <c r="C20" s="1"/>
      <c r="D20" s="8" t="s">
        <v>28</v>
      </c>
      <c r="E20" s="4"/>
      <c r="F20" s="8"/>
      <c r="G20" s="11">
        <v>1500</v>
      </c>
      <c r="H20" s="17">
        <f>+G19+G20</f>
        <v>26500</v>
      </c>
    </row>
    <row r="21" spans="1:8" x14ac:dyDescent="0.25">
      <c r="A21" s="1" t="s">
        <v>29</v>
      </c>
      <c r="B21" s="2">
        <v>80000</v>
      </c>
      <c r="C21" s="1"/>
      <c r="D21" s="12" t="s">
        <v>30</v>
      </c>
      <c r="E21" s="4"/>
      <c r="F21" s="8"/>
      <c r="G21" s="11"/>
      <c r="H21" s="18">
        <f>+H18+H20</f>
        <v>3586500</v>
      </c>
    </row>
    <row r="22" spans="1:8" x14ac:dyDescent="0.25">
      <c r="A22" s="1" t="s">
        <v>31</v>
      </c>
      <c r="B22" s="2">
        <v>130000</v>
      </c>
      <c r="D22" s="8" t="s">
        <v>32</v>
      </c>
      <c r="E22" s="4"/>
      <c r="F22" s="8"/>
      <c r="G22" s="11"/>
      <c r="H22" s="17"/>
    </row>
    <row r="23" spans="1:8" x14ac:dyDescent="0.25">
      <c r="A23" s="1"/>
      <c r="B23" s="1"/>
      <c r="D23" s="8" t="s">
        <v>33</v>
      </c>
      <c r="E23" s="4"/>
      <c r="F23" s="8"/>
      <c r="G23" s="11">
        <v>7500</v>
      </c>
      <c r="H23" s="18"/>
    </row>
    <row r="24" spans="1:8" x14ac:dyDescent="0.25">
      <c r="A24" s="1" t="s">
        <v>34</v>
      </c>
      <c r="D24" s="8" t="s">
        <v>35</v>
      </c>
      <c r="E24" s="4"/>
      <c r="F24" s="8"/>
      <c r="G24" s="11">
        <v>80000</v>
      </c>
      <c r="H24" s="17"/>
    </row>
    <row r="25" spans="1:8" x14ac:dyDescent="0.25">
      <c r="D25" s="8" t="s">
        <v>36</v>
      </c>
      <c r="E25" s="4"/>
      <c r="F25" s="8"/>
      <c r="G25" s="11">
        <v>130000</v>
      </c>
      <c r="H25" s="17">
        <f>+G23+G24+G25</f>
        <v>217500</v>
      </c>
    </row>
    <row r="26" spans="1:8" x14ac:dyDescent="0.25">
      <c r="D26" s="8" t="s">
        <v>37</v>
      </c>
      <c r="E26" s="4"/>
      <c r="F26" s="8"/>
      <c r="G26" s="11"/>
      <c r="H26" s="18">
        <f>+H21-H25</f>
        <v>3369000</v>
      </c>
    </row>
    <row r="27" spans="1:8" x14ac:dyDescent="0.25">
      <c r="D27" s="8" t="s">
        <v>38</v>
      </c>
      <c r="E27" s="4"/>
      <c r="F27" s="8"/>
      <c r="G27" s="11"/>
      <c r="H27" s="17">
        <v>1010700</v>
      </c>
    </row>
    <row r="28" spans="1:8" x14ac:dyDescent="0.25">
      <c r="D28" s="12" t="s">
        <v>39</v>
      </c>
      <c r="E28" s="15"/>
      <c r="F28" s="12"/>
      <c r="G28" s="21"/>
      <c r="H28" s="18">
        <f>+H26-H27</f>
        <v>2358300</v>
      </c>
    </row>
    <row r="29" spans="1:8" x14ac:dyDescent="0.25">
      <c r="D29" s="8"/>
      <c r="E29" s="4"/>
      <c r="F29" s="8"/>
      <c r="G29" s="11"/>
      <c r="H29" s="17"/>
    </row>
    <row r="30" spans="1:8" x14ac:dyDescent="0.25">
      <c r="D30" s="8"/>
      <c r="E30" s="4"/>
      <c r="F30" s="8"/>
      <c r="H30" s="17">
        <f>+H28-H29</f>
        <v>2358300</v>
      </c>
    </row>
    <row r="31" spans="1:8" ht="15.75" thickBot="1" x14ac:dyDescent="0.3">
      <c r="D31" s="9"/>
      <c r="E31" s="5"/>
      <c r="F31" s="9"/>
      <c r="G31" s="6"/>
      <c r="H31" s="19"/>
    </row>
  </sheetData>
  <mergeCells count="1">
    <mergeCell ref="D2:H2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7039-5009-4D5D-B6C6-D57C124A9BFF}">
  <dimension ref="A1:S64"/>
  <sheetViews>
    <sheetView zoomScale="80" zoomScaleNormal="80" workbookViewId="0">
      <selection activeCell="A19" sqref="A19"/>
    </sheetView>
  </sheetViews>
  <sheetFormatPr baseColWidth="10" defaultColWidth="11.42578125" defaultRowHeight="15" x14ac:dyDescent="0.25"/>
  <cols>
    <col min="1" max="1" width="37" bestFit="1" customWidth="1"/>
    <col min="2" max="2" width="14.28515625" bestFit="1" customWidth="1"/>
    <col min="3" max="3" width="8.5703125" customWidth="1"/>
    <col min="4" max="4" width="11.42578125" customWidth="1"/>
    <col min="5" max="5" width="22.5703125" hidden="1" customWidth="1"/>
    <col min="6" max="13" width="11.42578125" hidden="1" customWidth="1"/>
    <col min="14" max="14" width="11.42578125" customWidth="1"/>
    <col min="15" max="15" width="44.140625" bestFit="1" customWidth="1"/>
    <col min="16" max="16" width="14.28515625" bestFit="1" customWidth="1"/>
    <col min="17" max="17" width="8" customWidth="1"/>
    <col min="18" max="18" width="47.85546875" bestFit="1" customWidth="1"/>
    <col min="19" max="19" width="14.28515625" bestFit="1" customWidth="1"/>
  </cols>
  <sheetData>
    <row r="1" spans="1:19" ht="21" x14ac:dyDescent="0.35">
      <c r="A1" s="78" t="s">
        <v>40</v>
      </c>
      <c r="B1" s="78"/>
    </row>
    <row r="2" spans="1:19" ht="21" x14ac:dyDescent="0.35">
      <c r="A2" s="35" t="s">
        <v>41</v>
      </c>
      <c r="B2" s="35"/>
      <c r="C2" s="1"/>
      <c r="D2" s="1"/>
      <c r="E2" s="1" t="s">
        <v>42</v>
      </c>
      <c r="F2" s="2"/>
      <c r="G2" s="1"/>
      <c r="H2" s="1" t="s">
        <v>43</v>
      </c>
      <c r="I2" s="2"/>
      <c r="J2" s="1"/>
      <c r="K2" s="2">
        <v>520000</v>
      </c>
      <c r="L2" s="1"/>
      <c r="M2" s="1"/>
      <c r="N2" s="1"/>
      <c r="O2" s="40"/>
      <c r="P2" s="1"/>
      <c r="Q2" s="1"/>
      <c r="R2" s="40"/>
      <c r="S2" s="1"/>
    </row>
    <row r="3" spans="1:19" ht="21.75" thickBot="1" x14ac:dyDescent="0.4">
      <c r="A3" s="35" t="s">
        <v>44</v>
      </c>
      <c r="B3" s="36">
        <v>75000</v>
      </c>
      <c r="C3" s="1"/>
      <c r="D3" s="1"/>
      <c r="E3" s="1" t="s">
        <v>1</v>
      </c>
      <c r="F3" s="2"/>
      <c r="G3" s="1"/>
      <c r="H3" s="1" t="s">
        <v>45</v>
      </c>
      <c r="I3" s="2"/>
      <c r="J3" s="1"/>
      <c r="K3" s="74">
        <v>1850000</v>
      </c>
      <c r="L3" s="1"/>
      <c r="M3" s="1"/>
      <c r="N3" s="1"/>
      <c r="O3" s="35"/>
      <c r="P3" s="36"/>
      <c r="Q3" s="1"/>
      <c r="R3" s="35"/>
      <c r="S3" s="36"/>
    </row>
    <row r="4" spans="1:19" ht="21.75" thickTop="1" x14ac:dyDescent="0.35">
      <c r="A4" s="35" t="s">
        <v>46</v>
      </c>
      <c r="B4" s="36">
        <v>950000</v>
      </c>
      <c r="C4" s="1"/>
      <c r="D4" s="1"/>
      <c r="E4" s="1" t="s">
        <v>3</v>
      </c>
      <c r="F4" s="1"/>
      <c r="G4" s="1"/>
      <c r="H4" s="1"/>
      <c r="I4" s="2"/>
      <c r="J4" s="1"/>
      <c r="K4" s="2">
        <f>+K2+K3</f>
        <v>2370000</v>
      </c>
      <c r="L4" s="1"/>
      <c r="M4" s="1"/>
      <c r="N4" s="1"/>
      <c r="O4" s="35"/>
      <c r="P4" s="36"/>
      <c r="Q4" s="1"/>
      <c r="R4" s="35"/>
      <c r="S4" s="36"/>
    </row>
    <row r="5" spans="1:19" ht="21" x14ac:dyDescent="0.35">
      <c r="A5" s="35" t="s">
        <v>47</v>
      </c>
      <c r="B5" s="36">
        <v>4500</v>
      </c>
      <c r="C5" s="1"/>
      <c r="D5" s="1"/>
      <c r="E5" s="1" t="s">
        <v>48</v>
      </c>
      <c r="F5" s="1"/>
      <c r="G5" s="1"/>
      <c r="H5" s="1" t="s">
        <v>49</v>
      </c>
      <c r="I5" s="2"/>
      <c r="J5" s="2">
        <v>48000</v>
      </c>
      <c r="K5" s="1"/>
      <c r="L5" s="1"/>
      <c r="M5" s="1"/>
      <c r="N5" s="1"/>
      <c r="O5" s="35"/>
      <c r="P5" s="36"/>
      <c r="Q5" s="1"/>
      <c r="R5" s="35"/>
      <c r="S5" s="36"/>
    </row>
    <row r="6" spans="1:19" ht="21" x14ac:dyDescent="0.35">
      <c r="A6" s="35" t="s">
        <v>50</v>
      </c>
      <c r="B6" s="36">
        <v>1905000</v>
      </c>
      <c r="C6" s="1"/>
      <c r="D6" s="1"/>
      <c r="E6" s="1" t="s">
        <v>51</v>
      </c>
      <c r="F6" s="1"/>
      <c r="G6" s="1"/>
      <c r="H6" s="1" t="s">
        <v>52</v>
      </c>
      <c r="I6" s="2"/>
      <c r="J6" s="2">
        <v>20000</v>
      </c>
      <c r="K6" s="2">
        <f>+J5+J6</f>
        <v>68000</v>
      </c>
      <c r="L6" s="1"/>
      <c r="M6" s="1"/>
      <c r="N6" s="1"/>
      <c r="O6" s="35"/>
      <c r="P6" s="36"/>
      <c r="Q6" s="1"/>
      <c r="R6" s="35"/>
      <c r="S6" s="36"/>
    </row>
    <row r="7" spans="1:19" ht="21" x14ac:dyDescent="0.35">
      <c r="A7" s="35" t="s">
        <v>53</v>
      </c>
      <c r="B7" s="36">
        <v>80000</v>
      </c>
      <c r="C7" s="1"/>
      <c r="D7" s="1"/>
      <c r="E7" s="1" t="s">
        <v>54</v>
      </c>
      <c r="F7" s="1"/>
      <c r="G7" s="1"/>
      <c r="H7" s="1" t="s">
        <v>55</v>
      </c>
      <c r="I7" s="2">
        <f>+I4-I5-I6</f>
        <v>0</v>
      </c>
      <c r="J7" s="1"/>
      <c r="K7" s="1"/>
      <c r="L7" s="2">
        <f>+K4-K6</f>
        <v>2302000</v>
      </c>
      <c r="M7" s="1"/>
      <c r="N7" s="1"/>
      <c r="O7" s="35"/>
      <c r="P7" s="36"/>
      <c r="Q7" s="1"/>
      <c r="R7" s="1"/>
      <c r="S7" s="1"/>
    </row>
    <row r="8" spans="1:19" ht="21" x14ac:dyDescent="0.35">
      <c r="A8" s="35" t="s">
        <v>56</v>
      </c>
      <c r="B8" s="36">
        <v>45000</v>
      </c>
      <c r="C8" s="1"/>
      <c r="D8" s="1"/>
      <c r="E8" s="1" t="s">
        <v>10</v>
      </c>
      <c r="F8" s="2">
        <v>450000</v>
      </c>
      <c r="G8" s="1"/>
      <c r="H8" s="1" t="s">
        <v>57</v>
      </c>
      <c r="I8" s="2">
        <v>658000</v>
      </c>
      <c r="J8" s="1"/>
      <c r="K8" s="1"/>
      <c r="L8" s="1"/>
      <c r="M8" s="1"/>
      <c r="N8" s="1"/>
      <c r="O8" s="40"/>
      <c r="P8" s="41"/>
      <c r="Q8" s="1"/>
      <c r="R8" s="40"/>
      <c r="S8" s="41"/>
    </row>
    <row r="9" spans="1:19" ht="21" x14ac:dyDescent="0.35">
      <c r="A9" s="35" t="s">
        <v>58</v>
      </c>
      <c r="B9" s="36">
        <v>10000</v>
      </c>
      <c r="C9" s="1"/>
      <c r="D9" s="1"/>
      <c r="E9" s="1" t="s">
        <v>59</v>
      </c>
      <c r="F9" s="2">
        <v>10000</v>
      </c>
      <c r="G9" s="1"/>
      <c r="H9" s="1" t="s">
        <v>60</v>
      </c>
      <c r="I9" s="2">
        <v>10000</v>
      </c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21" x14ac:dyDescent="0.35">
      <c r="A10" s="35" t="s">
        <v>61</v>
      </c>
      <c r="B10" s="36">
        <v>1025000</v>
      </c>
      <c r="C10" s="1"/>
      <c r="D10" s="1"/>
      <c r="E10" s="1" t="s">
        <v>62</v>
      </c>
      <c r="F10" s="1"/>
      <c r="G10" s="1"/>
      <c r="H10" s="1" t="s">
        <v>63</v>
      </c>
      <c r="I10" s="2">
        <f>+I8+I9</f>
        <v>668000</v>
      </c>
      <c r="J10" s="2"/>
      <c r="K10" s="1"/>
      <c r="L10" s="1"/>
      <c r="M10" s="1"/>
      <c r="N10" s="1"/>
      <c r="O10" s="35"/>
      <c r="P10" s="1"/>
      <c r="Q10" s="1"/>
      <c r="R10" s="1"/>
      <c r="S10" s="2"/>
    </row>
    <row r="11" spans="1:19" ht="21" x14ac:dyDescent="0.35">
      <c r="A11" s="35" t="s">
        <v>64</v>
      </c>
      <c r="B11" s="36">
        <v>2400000</v>
      </c>
      <c r="C11" s="1"/>
      <c r="D11" s="1"/>
      <c r="E11" s="1" t="s">
        <v>65</v>
      </c>
      <c r="F11" s="2">
        <v>9000</v>
      </c>
      <c r="G11" s="1"/>
      <c r="H11" s="1" t="s">
        <v>66</v>
      </c>
      <c r="I11" s="2">
        <v>10000</v>
      </c>
      <c r="J11" s="1"/>
      <c r="K11" s="1"/>
      <c r="L11" s="1"/>
      <c r="M11" s="1"/>
      <c r="N11" s="1"/>
      <c r="O11" s="35"/>
      <c r="P11" s="36"/>
      <c r="Q11" s="1"/>
      <c r="R11" s="35"/>
      <c r="S11" s="36"/>
    </row>
    <row r="12" spans="1:19" ht="21" x14ac:dyDescent="0.35">
      <c r="A12" s="35" t="s">
        <v>67</v>
      </c>
      <c r="B12" s="36">
        <v>500000</v>
      </c>
      <c r="C12" s="1"/>
      <c r="D12" s="1"/>
      <c r="E12" s="1" t="s">
        <v>68</v>
      </c>
      <c r="F12" s="2">
        <v>40000</v>
      </c>
      <c r="G12" s="1"/>
      <c r="H12" s="1" t="s">
        <v>69</v>
      </c>
      <c r="I12" s="2">
        <v>45000</v>
      </c>
      <c r="J12" s="2"/>
      <c r="K12" s="1"/>
      <c r="L12" s="1"/>
      <c r="M12" s="1"/>
      <c r="N12" s="1"/>
      <c r="O12" s="35"/>
      <c r="P12" s="36"/>
      <c r="Q12" s="1"/>
      <c r="R12" s="1"/>
      <c r="S12" s="1"/>
    </row>
    <row r="13" spans="1:19" ht="21" x14ac:dyDescent="0.35">
      <c r="A13" s="35" t="s">
        <v>70</v>
      </c>
      <c r="B13" s="36">
        <v>900000</v>
      </c>
      <c r="C13" s="1"/>
      <c r="D13" s="1"/>
      <c r="E13" s="1" t="s">
        <v>71</v>
      </c>
      <c r="F13" s="1"/>
      <c r="G13" s="1"/>
      <c r="H13" s="1" t="s">
        <v>72</v>
      </c>
      <c r="I13" s="2"/>
      <c r="J13" s="2">
        <f>+I10-I11-I12</f>
        <v>613000</v>
      </c>
      <c r="K13" s="1"/>
      <c r="L13" s="1"/>
      <c r="M13" s="1"/>
      <c r="N13" s="1"/>
      <c r="O13" s="35"/>
      <c r="P13" s="36"/>
      <c r="Q13" s="1"/>
      <c r="R13" s="35"/>
      <c r="S13" s="36"/>
    </row>
    <row r="14" spans="1:19" ht="21" x14ac:dyDescent="0.35">
      <c r="A14" s="35" t="s">
        <v>73</v>
      </c>
      <c r="B14" s="36">
        <v>50000</v>
      </c>
      <c r="C14" s="1"/>
      <c r="D14" s="1"/>
      <c r="E14" s="1" t="s">
        <v>74</v>
      </c>
      <c r="F14" s="1"/>
      <c r="G14" s="1"/>
      <c r="H14" s="1" t="s">
        <v>75</v>
      </c>
      <c r="I14" s="2"/>
      <c r="J14" s="2">
        <v>110000</v>
      </c>
      <c r="K14" s="1"/>
      <c r="L14" s="1"/>
      <c r="M14" s="1"/>
      <c r="N14" s="1"/>
      <c r="O14" s="35"/>
      <c r="P14" s="36"/>
      <c r="Q14" s="1"/>
      <c r="R14" s="35"/>
      <c r="S14" s="36"/>
    </row>
    <row r="15" spans="1:19" ht="21" x14ac:dyDescent="0.35">
      <c r="A15" s="35" t="s">
        <v>76</v>
      </c>
      <c r="B15" s="36">
        <v>600000</v>
      </c>
      <c r="C15" s="1"/>
      <c r="D15" s="1"/>
      <c r="E15" s="1" t="s">
        <v>77</v>
      </c>
      <c r="F15" s="1"/>
      <c r="G15" s="1"/>
      <c r="H15" s="1" t="s">
        <v>78</v>
      </c>
      <c r="I15" s="2"/>
      <c r="J15" s="2">
        <v>70000</v>
      </c>
      <c r="K15" s="1"/>
      <c r="L15" s="1"/>
      <c r="M15" s="1"/>
      <c r="N15" s="1"/>
      <c r="O15" s="35"/>
      <c r="P15" s="36"/>
      <c r="Q15" s="1"/>
      <c r="R15" s="35"/>
      <c r="S15" s="36"/>
    </row>
    <row r="16" spans="1:19" ht="21" x14ac:dyDescent="0.35">
      <c r="A16" s="35" t="s">
        <v>79</v>
      </c>
      <c r="B16" s="36">
        <v>480080</v>
      </c>
      <c r="C16" s="1"/>
      <c r="D16" s="1"/>
      <c r="E16" s="1" t="s">
        <v>80</v>
      </c>
      <c r="F16" s="1"/>
      <c r="G16" s="1"/>
      <c r="H16" s="1" t="s">
        <v>81</v>
      </c>
      <c r="I16" s="2">
        <f>+I13+I14-I15</f>
        <v>0</v>
      </c>
      <c r="J16" s="1"/>
      <c r="K16" s="1"/>
      <c r="L16" s="2">
        <f>+J13+J14-J15</f>
        <v>653000</v>
      </c>
      <c r="M16" s="1"/>
      <c r="N16" s="1"/>
      <c r="O16" s="35"/>
      <c r="P16" s="36"/>
      <c r="Q16" s="1"/>
      <c r="R16" s="35"/>
      <c r="S16" s="36"/>
    </row>
    <row r="17" spans="1:19" ht="21" x14ac:dyDescent="0.35">
      <c r="A17" s="35" t="s">
        <v>82</v>
      </c>
      <c r="B17" s="36">
        <v>90000</v>
      </c>
      <c r="C17" s="1"/>
      <c r="D17" s="1"/>
      <c r="E17" s="1" t="s">
        <v>83</v>
      </c>
      <c r="F17" s="1"/>
      <c r="G17" s="1"/>
      <c r="H17" s="1" t="s">
        <v>84</v>
      </c>
      <c r="I17" s="2">
        <f>+I7-I16</f>
        <v>0</v>
      </c>
      <c r="J17" s="1"/>
      <c r="K17" s="1"/>
      <c r="L17" s="2">
        <f>+L7-L16</f>
        <v>1649000</v>
      </c>
      <c r="M17" s="1"/>
      <c r="N17" s="1"/>
      <c r="O17" s="40"/>
      <c r="P17" s="41"/>
      <c r="Q17" s="1"/>
      <c r="R17" s="40"/>
      <c r="S17" s="41"/>
    </row>
    <row r="18" spans="1:19" ht="21" x14ac:dyDescent="0.35">
      <c r="A18" s="35" t="s">
        <v>85</v>
      </c>
      <c r="B18" s="36">
        <v>85621</v>
      </c>
      <c r="C18" s="1"/>
      <c r="D18" s="1"/>
      <c r="E18" s="1" t="s">
        <v>26</v>
      </c>
      <c r="F18" s="1"/>
      <c r="G18" s="1"/>
      <c r="H18" s="1" t="s">
        <v>86</v>
      </c>
      <c r="I18" s="2"/>
      <c r="J18" s="1"/>
      <c r="K18" s="1"/>
      <c r="L18" s="2">
        <v>12000</v>
      </c>
      <c r="M18" s="1"/>
      <c r="N18" s="1"/>
      <c r="O18" s="1"/>
      <c r="P18" s="1"/>
      <c r="Q18" s="1"/>
      <c r="R18" s="1"/>
      <c r="S18" s="1"/>
    </row>
    <row r="19" spans="1:19" ht="21" x14ac:dyDescent="0.35">
      <c r="A19" s="35" t="s">
        <v>87</v>
      </c>
      <c r="B19" s="36">
        <v>465900</v>
      </c>
      <c r="C19" s="1"/>
      <c r="D19" s="1"/>
      <c r="E19" s="1" t="s">
        <v>28</v>
      </c>
      <c r="F19" s="1"/>
      <c r="G19" s="1"/>
      <c r="H19" s="1" t="s">
        <v>88</v>
      </c>
      <c r="I19" s="2"/>
      <c r="J19" s="1"/>
      <c r="K19" s="1"/>
      <c r="L19" s="2">
        <v>4500</v>
      </c>
      <c r="M19" s="1"/>
      <c r="N19" s="1"/>
      <c r="O19" s="20"/>
      <c r="P19" s="75"/>
      <c r="Q19" s="1"/>
      <c r="R19" s="40"/>
      <c r="S19" s="41"/>
    </row>
    <row r="20" spans="1:19" ht="21" x14ac:dyDescent="0.35">
      <c r="A20" s="35" t="s">
        <v>89</v>
      </c>
      <c r="B20" s="36">
        <v>35000</v>
      </c>
      <c r="C20" s="1"/>
      <c r="D20" s="1"/>
      <c r="E20" s="1" t="s">
        <v>90</v>
      </c>
      <c r="F20" s="1"/>
      <c r="G20" s="1"/>
      <c r="H20" s="1" t="s">
        <v>91</v>
      </c>
      <c r="I20" s="2">
        <f>+I17+I18+I19</f>
        <v>0</v>
      </c>
      <c r="J20" s="1"/>
      <c r="K20" s="1"/>
      <c r="L20" s="2">
        <f>+L17+L18+L19</f>
        <v>1665500</v>
      </c>
      <c r="M20" s="1"/>
      <c r="N20" s="1"/>
      <c r="O20" s="1"/>
      <c r="P20" s="1"/>
      <c r="Q20" s="1"/>
      <c r="R20" s="1"/>
      <c r="S20" s="1"/>
    </row>
    <row r="21" spans="1:19" ht="21" x14ac:dyDescent="0.35">
      <c r="A21" s="35" t="s">
        <v>92</v>
      </c>
      <c r="B21" s="36">
        <v>20000</v>
      </c>
      <c r="C21" s="1"/>
      <c r="D21" s="1"/>
      <c r="E21" s="1" t="s">
        <v>93</v>
      </c>
      <c r="F21" s="1"/>
      <c r="G21" s="1"/>
      <c r="H21" s="1" t="s">
        <v>94</v>
      </c>
      <c r="I21" s="2"/>
      <c r="J21" s="1"/>
      <c r="K21" s="2">
        <v>7900</v>
      </c>
      <c r="L21" s="1"/>
      <c r="M21" s="1"/>
      <c r="N21" s="1"/>
      <c r="O21" s="1"/>
      <c r="P21" s="2"/>
      <c r="Q21" s="1"/>
      <c r="R21" s="1"/>
      <c r="S21" s="1"/>
    </row>
    <row r="22" spans="1:19" ht="21" x14ac:dyDescent="0.35">
      <c r="A22" s="35"/>
      <c r="B22" s="35"/>
      <c r="C22" s="1"/>
      <c r="D22" s="1"/>
      <c r="E22" s="1" t="s">
        <v>95</v>
      </c>
      <c r="F22" s="1"/>
      <c r="G22" s="1"/>
      <c r="H22" s="1" t="s">
        <v>96</v>
      </c>
      <c r="I22" s="2"/>
      <c r="J22" s="1"/>
      <c r="K22" s="2">
        <v>105000</v>
      </c>
      <c r="L22" s="1"/>
      <c r="M22" s="1"/>
      <c r="N22" s="1"/>
      <c r="O22" s="1"/>
      <c r="P22" s="1"/>
      <c r="Q22" s="1"/>
      <c r="R22" s="1"/>
      <c r="S22" s="1"/>
    </row>
    <row r="23" spans="1:19" ht="21" x14ac:dyDescent="0.35">
      <c r="A23" s="35"/>
      <c r="B23" s="35"/>
      <c r="C23" s="1"/>
      <c r="D23" s="1"/>
      <c r="E23" s="1" t="s">
        <v>97</v>
      </c>
      <c r="F23" s="1"/>
      <c r="G23" s="1"/>
      <c r="H23" s="1" t="s">
        <v>93</v>
      </c>
      <c r="I23" s="2"/>
      <c r="J23" s="1"/>
      <c r="K23" s="2">
        <v>195000</v>
      </c>
      <c r="L23" s="2">
        <f>+K21+K22+K23</f>
        <v>307900</v>
      </c>
      <c r="M23" s="1"/>
      <c r="N23" s="1"/>
      <c r="O23" s="1"/>
      <c r="P23" s="1"/>
      <c r="Q23" s="1"/>
      <c r="R23" s="1"/>
      <c r="S23" s="1"/>
    </row>
    <row r="24" spans="1:19" ht="21" x14ac:dyDescent="0.35">
      <c r="A24" s="35"/>
      <c r="B24" s="35"/>
      <c r="C24" s="1"/>
      <c r="D24" s="1"/>
      <c r="E24" s="1" t="s">
        <v>98</v>
      </c>
      <c r="F24" s="1"/>
      <c r="G24" s="1"/>
      <c r="H24" s="1" t="s">
        <v>99</v>
      </c>
      <c r="I24" s="2">
        <f>+I20-I21-I22-I23</f>
        <v>0</v>
      </c>
      <c r="J24" s="1"/>
      <c r="K24" s="1"/>
      <c r="L24" s="2">
        <f>+L20-L23</f>
        <v>1357600</v>
      </c>
      <c r="M24" s="1"/>
      <c r="N24" s="1"/>
      <c r="O24" s="1"/>
      <c r="P24" s="1"/>
      <c r="Q24" s="1"/>
      <c r="R24" s="1"/>
      <c r="S24" s="1"/>
    </row>
    <row r="25" spans="1:19" ht="23.25" x14ac:dyDescent="0.35">
      <c r="A25" s="76"/>
      <c r="B25" s="76"/>
      <c r="C25" s="1"/>
      <c r="D25" s="1"/>
      <c r="E25" s="1" t="s">
        <v>100</v>
      </c>
      <c r="F25" s="1"/>
      <c r="G25" s="1"/>
      <c r="H25" s="1" t="s">
        <v>100</v>
      </c>
      <c r="I25" s="1">
        <f>+I24*0.3</f>
        <v>0</v>
      </c>
      <c r="J25" s="1"/>
      <c r="K25" s="1"/>
      <c r="L25" s="1">
        <f>+L24*0.3</f>
        <v>407280</v>
      </c>
      <c r="M25" s="1"/>
      <c r="N25" s="1"/>
      <c r="O25" s="1"/>
      <c r="P25" s="1"/>
      <c r="Q25" s="1"/>
      <c r="R25" s="1"/>
      <c r="S25" s="1"/>
    </row>
    <row r="26" spans="1:19" ht="23.25" x14ac:dyDescent="0.35">
      <c r="A26" s="34"/>
      <c r="B26" s="34"/>
      <c r="E26" t="s">
        <v>101</v>
      </c>
      <c r="H26" t="s">
        <v>102</v>
      </c>
      <c r="I26" s="11">
        <f>+I24-I25</f>
        <v>0</v>
      </c>
      <c r="L26" s="11">
        <f>+L24-L25</f>
        <v>950320</v>
      </c>
    </row>
    <row r="27" spans="1:19" ht="23.25" x14ac:dyDescent="0.35">
      <c r="A27" s="34"/>
      <c r="B27" s="34"/>
    </row>
    <row r="28" spans="1:19" ht="23.25" x14ac:dyDescent="0.35">
      <c r="A28" s="34"/>
      <c r="B28" s="34"/>
    </row>
    <row r="29" spans="1:19" ht="23.25" x14ac:dyDescent="0.35">
      <c r="A29" s="34"/>
      <c r="B29" s="34"/>
    </row>
    <row r="30" spans="1:19" ht="23.25" x14ac:dyDescent="0.35">
      <c r="A30" s="34"/>
      <c r="B30" s="34"/>
    </row>
    <row r="31" spans="1:19" ht="23.25" x14ac:dyDescent="0.35">
      <c r="A31" s="34"/>
      <c r="B31" s="34"/>
    </row>
    <row r="32" spans="1:19" ht="23.25" x14ac:dyDescent="0.35">
      <c r="A32" s="34"/>
      <c r="B32" s="34"/>
    </row>
    <row r="33" spans="1:2" ht="23.25" x14ac:dyDescent="0.35">
      <c r="A33" s="34"/>
      <c r="B33" s="34"/>
    </row>
    <row r="34" spans="1:2" ht="23.25" x14ac:dyDescent="0.35">
      <c r="A34" s="34"/>
      <c r="B34" s="34"/>
    </row>
    <row r="35" spans="1:2" ht="23.25" x14ac:dyDescent="0.35">
      <c r="A35" s="34"/>
      <c r="B35" s="34"/>
    </row>
    <row r="36" spans="1:2" ht="23.25" x14ac:dyDescent="0.35">
      <c r="A36" s="34"/>
      <c r="B36" s="34"/>
    </row>
    <row r="37" spans="1:2" ht="23.25" x14ac:dyDescent="0.35">
      <c r="A37" s="34"/>
      <c r="B37" s="34"/>
    </row>
    <row r="38" spans="1:2" ht="23.25" x14ac:dyDescent="0.35">
      <c r="A38" s="34"/>
      <c r="B38" s="34"/>
    </row>
    <row r="39" spans="1:2" ht="23.25" x14ac:dyDescent="0.35">
      <c r="A39" s="34"/>
      <c r="B39" s="34"/>
    </row>
    <row r="40" spans="1:2" ht="23.25" x14ac:dyDescent="0.35">
      <c r="A40" s="34"/>
      <c r="B40" s="34"/>
    </row>
    <row r="41" spans="1:2" ht="23.25" x14ac:dyDescent="0.35">
      <c r="A41" s="34"/>
      <c r="B41" s="34"/>
    </row>
    <row r="42" spans="1:2" ht="23.25" x14ac:dyDescent="0.35">
      <c r="A42" s="34"/>
      <c r="B42" s="34"/>
    </row>
    <row r="43" spans="1:2" ht="23.25" x14ac:dyDescent="0.35">
      <c r="A43" s="34"/>
      <c r="B43" s="34"/>
    </row>
    <row r="44" spans="1:2" ht="23.25" x14ac:dyDescent="0.35">
      <c r="A44" s="34"/>
      <c r="B44" s="34"/>
    </row>
    <row r="45" spans="1:2" ht="23.25" x14ac:dyDescent="0.35">
      <c r="A45" s="34"/>
      <c r="B45" s="34"/>
    </row>
    <row r="46" spans="1:2" ht="23.25" x14ac:dyDescent="0.35">
      <c r="A46" s="34"/>
      <c r="B46" s="34"/>
    </row>
    <row r="47" spans="1:2" ht="23.25" x14ac:dyDescent="0.35">
      <c r="A47" s="34"/>
      <c r="B47" s="34"/>
    </row>
    <row r="48" spans="1:2" ht="23.25" x14ac:dyDescent="0.35">
      <c r="A48" s="34"/>
      <c r="B48" s="34"/>
    </row>
    <row r="49" spans="1:2" ht="23.25" x14ac:dyDescent="0.35">
      <c r="A49" s="34"/>
      <c r="B49" s="34"/>
    </row>
    <row r="50" spans="1:2" ht="23.25" x14ac:dyDescent="0.35">
      <c r="A50" s="34"/>
      <c r="B50" s="34"/>
    </row>
    <row r="51" spans="1:2" ht="23.25" x14ac:dyDescent="0.35">
      <c r="A51" s="34"/>
      <c r="B51" s="34"/>
    </row>
    <row r="52" spans="1:2" ht="23.25" x14ac:dyDescent="0.35">
      <c r="A52" s="34"/>
      <c r="B52" s="34"/>
    </row>
    <row r="53" spans="1:2" ht="23.25" x14ac:dyDescent="0.35">
      <c r="A53" s="34"/>
      <c r="B53" s="34"/>
    </row>
    <row r="54" spans="1:2" ht="23.25" x14ac:dyDescent="0.35">
      <c r="A54" s="34"/>
      <c r="B54" s="34"/>
    </row>
    <row r="55" spans="1:2" ht="23.25" x14ac:dyDescent="0.35">
      <c r="A55" s="34"/>
      <c r="B55" s="34"/>
    </row>
    <row r="56" spans="1:2" ht="23.25" x14ac:dyDescent="0.35">
      <c r="A56" s="34"/>
      <c r="B56" s="34"/>
    </row>
    <row r="57" spans="1:2" ht="23.25" x14ac:dyDescent="0.35">
      <c r="A57" s="34"/>
      <c r="B57" s="34"/>
    </row>
    <row r="58" spans="1:2" ht="23.25" x14ac:dyDescent="0.35">
      <c r="A58" s="34"/>
      <c r="B58" s="34"/>
    </row>
    <row r="59" spans="1:2" ht="23.25" x14ac:dyDescent="0.35">
      <c r="A59" s="34"/>
      <c r="B59" s="34"/>
    </row>
    <row r="60" spans="1:2" ht="23.25" x14ac:dyDescent="0.35">
      <c r="A60" s="34"/>
      <c r="B60" s="34"/>
    </row>
    <row r="61" spans="1:2" ht="23.25" x14ac:dyDescent="0.35">
      <c r="A61" s="34"/>
      <c r="B61" s="34"/>
    </row>
    <row r="62" spans="1:2" ht="23.25" x14ac:dyDescent="0.35">
      <c r="A62" s="34"/>
      <c r="B62" s="34"/>
    </row>
    <row r="63" spans="1:2" ht="23.25" x14ac:dyDescent="0.35">
      <c r="A63" s="34"/>
      <c r="B63" s="34"/>
    </row>
    <row r="64" spans="1:2" ht="23.25" x14ac:dyDescent="0.35">
      <c r="A64" s="34"/>
      <c r="B64" s="34"/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DE5CE-2157-4F69-A5BB-FB3D12C52ECC}">
  <dimension ref="A1:I20"/>
  <sheetViews>
    <sheetView tabSelected="1" topLeftCell="A2" workbookViewId="0">
      <selection activeCell="AI7" sqref="AI7"/>
    </sheetView>
  </sheetViews>
  <sheetFormatPr baseColWidth="10" defaultColWidth="11.42578125" defaultRowHeight="15" x14ac:dyDescent="0.25"/>
  <cols>
    <col min="1" max="1" width="42.140625" bestFit="1" customWidth="1"/>
    <col min="2" max="2" width="12.7109375" bestFit="1" customWidth="1"/>
    <col min="4" max="4" width="11.42578125" customWidth="1"/>
    <col min="5" max="5" width="25.28515625" customWidth="1"/>
    <col min="6" max="6" width="11.42578125" customWidth="1"/>
    <col min="7" max="7" width="7.140625" customWidth="1"/>
    <col min="8" max="8" width="31.7109375" bestFit="1" customWidth="1"/>
    <col min="9" max="10" width="11.42578125" customWidth="1"/>
  </cols>
  <sheetData>
    <row r="1" spans="1:9" x14ac:dyDescent="0.25">
      <c r="E1" s="79" t="s">
        <v>103</v>
      </c>
      <c r="F1" s="79"/>
      <c r="G1" s="79"/>
      <c r="H1" s="79"/>
    </row>
    <row r="2" spans="1:9" ht="18.75" x14ac:dyDescent="0.3">
      <c r="A2" s="58" t="s">
        <v>41</v>
      </c>
      <c r="B2" s="58"/>
      <c r="E2" s="79"/>
      <c r="F2" s="79"/>
      <c r="G2" s="79"/>
      <c r="H2" s="79"/>
    </row>
    <row r="3" spans="1:9" ht="18.75" x14ac:dyDescent="0.3">
      <c r="A3" s="72" t="s">
        <v>44</v>
      </c>
      <c r="B3" s="73">
        <v>850000</v>
      </c>
      <c r="E3" s="79" t="s">
        <v>104</v>
      </c>
      <c r="F3" s="79"/>
      <c r="G3" s="79"/>
      <c r="H3" s="79"/>
    </row>
    <row r="4" spans="1:9" ht="18.75" x14ac:dyDescent="0.3">
      <c r="A4" s="72" t="s">
        <v>46</v>
      </c>
      <c r="B4" s="73">
        <v>3400000</v>
      </c>
      <c r="E4" s="16" t="s">
        <v>105</v>
      </c>
      <c r="H4" s="16" t="s">
        <v>106</v>
      </c>
    </row>
    <row r="5" spans="1:9" ht="18.75" x14ac:dyDescent="0.3">
      <c r="A5" s="70" t="s">
        <v>47</v>
      </c>
      <c r="B5" s="71">
        <v>5000</v>
      </c>
      <c r="E5" t="s">
        <v>107</v>
      </c>
      <c r="F5" s="11">
        <v>5000</v>
      </c>
      <c r="H5" t="s">
        <v>108</v>
      </c>
      <c r="I5" s="11">
        <v>850000</v>
      </c>
    </row>
    <row r="6" spans="1:9" ht="18.75" x14ac:dyDescent="0.3">
      <c r="A6" s="70" t="s">
        <v>50</v>
      </c>
      <c r="B6" s="71">
        <v>4500000</v>
      </c>
      <c r="E6" t="s">
        <v>109</v>
      </c>
      <c r="F6" s="11">
        <v>1500000</v>
      </c>
      <c r="H6" t="s">
        <v>110</v>
      </c>
      <c r="I6" s="11">
        <v>750000</v>
      </c>
    </row>
    <row r="7" spans="1:9" ht="18.75" x14ac:dyDescent="0.3">
      <c r="A7" s="70" t="s">
        <v>53</v>
      </c>
      <c r="B7" s="71">
        <v>70000</v>
      </c>
      <c r="E7" t="s">
        <v>111</v>
      </c>
      <c r="F7" s="11">
        <v>70000</v>
      </c>
      <c r="H7" t="s">
        <v>112</v>
      </c>
      <c r="I7" s="11">
        <v>84680</v>
      </c>
    </row>
    <row r="8" spans="1:9" ht="18.75" x14ac:dyDescent="0.3">
      <c r="A8" s="70" t="s">
        <v>56</v>
      </c>
      <c r="B8" s="71">
        <v>120000</v>
      </c>
      <c r="E8" t="s">
        <v>113</v>
      </c>
      <c r="F8" s="11">
        <v>690000</v>
      </c>
      <c r="H8" t="s">
        <v>114</v>
      </c>
      <c r="I8" s="11">
        <v>150000</v>
      </c>
    </row>
    <row r="9" spans="1:9" ht="18.75" x14ac:dyDescent="0.3">
      <c r="A9" s="70" t="s">
        <v>58</v>
      </c>
      <c r="B9" s="71">
        <v>50000</v>
      </c>
      <c r="E9" t="s">
        <v>115</v>
      </c>
      <c r="F9" s="11">
        <v>120000</v>
      </c>
    </row>
    <row r="10" spans="1:9" ht="18.75" x14ac:dyDescent="0.3">
      <c r="A10" s="70" t="s">
        <v>61</v>
      </c>
      <c r="B10" s="71">
        <v>1500000</v>
      </c>
      <c r="E10" s="56" t="s">
        <v>116</v>
      </c>
      <c r="F10" s="57">
        <f>+SUM(F5:F9)</f>
        <v>2385000</v>
      </c>
      <c r="H10" s="56" t="s">
        <v>117</v>
      </c>
      <c r="I10" s="57">
        <f>+SUM(I5:I8)</f>
        <v>1834680</v>
      </c>
    </row>
    <row r="11" spans="1:9" ht="18.75" x14ac:dyDescent="0.3">
      <c r="A11" s="70" t="s">
        <v>64</v>
      </c>
      <c r="B11" s="71">
        <v>2300000</v>
      </c>
      <c r="F11" s="11"/>
    </row>
    <row r="12" spans="1:9" ht="18.75" x14ac:dyDescent="0.3">
      <c r="A12" s="72" t="s">
        <v>67</v>
      </c>
      <c r="B12" s="73">
        <v>750000</v>
      </c>
      <c r="E12" t="s">
        <v>118</v>
      </c>
      <c r="F12" s="11"/>
      <c r="H12" s="56" t="s">
        <v>119</v>
      </c>
      <c r="I12" s="57">
        <v>1200000</v>
      </c>
    </row>
    <row r="13" spans="1:9" ht="18.75" x14ac:dyDescent="0.3">
      <c r="A13" s="72" t="s">
        <v>120</v>
      </c>
      <c r="B13" s="73">
        <v>1200000</v>
      </c>
      <c r="E13" t="s">
        <v>121</v>
      </c>
      <c r="F13" s="11">
        <v>2300000</v>
      </c>
    </row>
    <row r="14" spans="1:9" ht="18.75" x14ac:dyDescent="0.3">
      <c r="A14" s="72" t="s">
        <v>73</v>
      </c>
      <c r="B14" s="73">
        <v>150000</v>
      </c>
      <c r="E14" t="s">
        <v>122</v>
      </c>
      <c r="F14" s="11">
        <v>4500000</v>
      </c>
      <c r="H14" t="s">
        <v>123</v>
      </c>
    </row>
    <row r="15" spans="1:9" ht="18.75" x14ac:dyDescent="0.3">
      <c r="A15" s="72" t="s">
        <v>76</v>
      </c>
      <c r="B15" s="73">
        <v>2100000</v>
      </c>
      <c r="E15" t="s">
        <v>124</v>
      </c>
      <c r="F15" s="11">
        <v>350000</v>
      </c>
      <c r="H15" t="s">
        <v>125</v>
      </c>
      <c r="I15" s="11">
        <v>3400000</v>
      </c>
    </row>
    <row r="16" spans="1:9" ht="18.75" x14ac:dyDescent="0.3">
      <c r="A16" s="70" t="s">
        <v>79</v>
      </c>
      <c r="B16" s="71">
        <v>690000</v>
      </c>
      <c r="E16" t="s">
        <v>126</v>
      </c>
      <c r="F16" s="11">
        <v>-50000</v>
      </c>
      <c r="H16" t="s">
        <v>127</v>
      </c>
      <c r="I16" s="11">
        <v>2100000</v>
      </c>
    </row>
    <row r="17" spans="1:9" ht="18.75" x14ac:dyDescent="0.3">
      <c r="A17" s="70" t="s">
        <v>82</v>
      </c>
      <c r="B17" s="71">
        <v>350000</v>
      </c>
      <c r="E17" s="56" t="s">
        <v>128</v>
      </c>
      <c r="F17" s="57">
        <f>+SUM(F13:F16)</f>
        <v>7100000</v>
      </c>
      <c r="H17" t="s">
        <v>39</v>
      </c>
      <c r="I17" s="11">
        <v>950320</v>
      </c>
    </row>
    <row r="18" spans="1:9" ht="18.75" x14ac:dyDescent="0.3">
      <c r="A18" s="72" t="s">
        <v>85</v>
      </c>
      <c r="B18" s="73">
        <v>84680</v>
      </c>
      <c r="H18" s="56" t="s">
        <v>129</v>
      </c>
      <c r="I18" s="57">
        <f>+I15+I16+I17</f>
        <v>6450320</v>
      </c>
    </row>
    <row r="19" spans="1:9" ht="18.75" x14ac:dyDescent="0.3">
      <c r="A19" s="59"/>
      <c r="B19" s="59"/>
      <c r="H19" s="20"/>
      <c r="I19" s="20"/>
    </row>
    <row r="20" spans="1:9" x14ac:dyDescent="0.25">
      <c r="E20" s="56" t="s">
        <v>130</v>
      </c>
      <c r="F20" s="57">
        <f>+F10+F17</f>
        <v>9485000</v>
      </c>
      <c r="H20" s="56" t="s">
        <v>131</v>
      </c>
      <c r="I20" s="57">
        <f>+I10+I12+I18</f>
        <v>9485000</v>
      </c>
    </row>
  </sheetData>
  <mergeCells count="2">
    <mergeCell ref="E1:H2"/>
    <mergeCell ref="E3:H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3D458-D165-4110-8720-0DE7FA028B1C}">
  <dimension ref="A1:I27"/>
  <sheetViews>
    <sheetView zoomScale="80" zoomScaleNormal="80" workbookViewId="0">
      <selection activeCell="H11" sqref="H11"/>
    </sheetView>
  </sheetViews>
  <sheetFormatPr baseColWidth="10" defaultColWidth="11.42578125" defaultRowHeight="15" x14ac:dyDescent="0.25"/>
  <cols>
    <col min="1" max="1" width="41.7109375" bestFit="1" customWidth="1"/>
    <col min="2" max="2" width="16" bestFit="1" customWidth="1"/>
    <col min="5" max="5" width="17.5703125" customWidth="1"/>
    <col min="6" max="10" width="11.42578125" customWidth="1"/>
  </cols>
  <sheetData>
    <row r="1" spans="1:9" x14ac:dyDescent="0.25">
      <c r="E1" s="81" t="s">
        <v>132</v>
      </c>
      <c r="F1" s="81"/>
      <c r="G1" s="81"/>
      <c r="H1" s="81"/>
      <c r="I1" s="81"/>
    </row>
    <row r="2" spans="1:9" ht="21.75" thickBot="1" x14ac:dyDescent="0.4">
      <c r="A2" s="80" t="s">
        <v>40</v>
      </c>
      <c r="B2" s="80"/>
      <c r="E2" s="82" t="s">
        <v>133</v>
      </c>
      <c r="F2" s="82"/>
      <c r="G2" s="82"/>
      <c r="H2" s="82"/>
      <c r="I2" s="82"/>
    </row>
    <row r="3" spans="1:9" ht="21" x14ac:dyDescent="0.35">
      <c r="A3" s="35" t="s">
        <v>5</v>
      </c>
      <c r="B3" s="36">
        <v>8900</v>
      </c>
      <c r="E3" s="3" t="s">
        <v>1</v>
      </c>
      <c r="F3" s="42"/>
      <c r="G3" s="42"/>
      <c r="H3" s="10">
        <v>490000</v>
      </c>
      <c r="I3" s="43"/>
    </row>
    <row r="4" spans="1:9" ht="21" x14ac:dyDescent="0.35">
      <c r="A4" s="35" t="s">
        <v>7</v>
      </c>
      <c r="B4" s="36">
        <v>3500</v>
      </c>
      <c r="E4" s="4" t="s">
        <v>2</v>
      </c>
      <c r="H4" s="11">
        <v>2900000</v>
      </c>
      <c r="I4" s="44"/>
    </row>
    <row r="5" spans="1:9" ht="21" x14ac:dyDescent="0.35">
      <c r="A5" s="35" t="s">
        <v>9</v>
      </c>
      <c r="B5" s="36">
        <v>20000</v>
      </c>
      <c r="E5" s="4" t="s">
        <v>3</v>
      </c>
      <c r="H5" s="11">
        <f>+H3+H4</f>
        <v>3390000</v>
      </c>
      <c r="I5" s="44"/>
    </row>
    <row r="6" spans="1:9" ht="21" x14ac:dyDescent="0.35">
      <c r="A6" s="35" t="s">
        <v>1</v>
      </c>
      <c r="B6" s="54">
        <v>490000</v>
      </c>
      <c r="E6" s="4" t="s">
        <v>134</v>
      </c>
      <c r="G6" s="11">
        <v>40000</v>
      </c>
      <c r="I6" s="44"/>
    </row>
    <row r="7" spans="1:9" ht="21" x14ac:dyDescent="0.35">
      <c r="A7" s="35" t="s">
        <v>2</v>
      </c>
      <c r="B7" s="54">
        <v>2900000</v>
      </c>
      <c r="E7" s="4" t="s">
        <v>135</v>
      </c>
      <c r="G7" s="11">
        <v>15000</v>
      </c>
      <c r="H7" s="45">
        <f>+G6+G7</f>
        <v>55000</v>
      </c>
      <c r="I7" s="46"/>
    </row>
    <row r="8" spans="1:9" ht="21" x14ac:dyDescent="0.35">
      <c r="A8" s="38" t="s">
        <v>13</v>
      </c>
      <c r="B8" s="39">
        <v>120000</v>
      </c>
      <c r="E8" s="4" t="s">
        <v>54</v>
      </c>
      <c r="I8" s="47">
        <f>+H5-H7</f>
        <v>3335000</v>
      </c>
    </row>
    <row r="9" spans="1:9" ht="21" x14ac:dyDescent="0.35">
      <c r="A9" s="35" t="s">
        <v>15</v>
      </c>
      <c r="B9" s="36">
        <v>15000</v>
      </c>
      <c r="E9" s="4" t="s">
        <v>10</v>
      </c>
      <c r="F9" s="11">
        <v>450000</v>
      </c>
      <c r="I9" s="44"/>
    </row>
    <row r="10" spans="1:9" ht="21" x14ac:dyDescent="0.35">
      <c r="A10" s="35" t="s">
        <v>17</v>
      </c>
      <c r="B10" s="36">
        <v>40000</v>
      </c>
      <c r="E10" s="4" t="s">
        <v>136</v>
      </c>
      <c r="F10" s="11">
        <v>10000</v>
      </c>
      <c r="I10" s="44"/>
    </row>
    <row r="11" spans="1:9" ht="21" x14ac:dyDescent="0.35">
      <c r="A11" s="35" t="s">
        <v>19</v>
      </c>
      <c r="B11" s="36">
        <v>450000</v>
      </c>
      <c r="E11" s="4" t="s">
        <v>137</v>
      </c>
      <c r="F11" s="11">
        <f>+F9+F10</f>
        <v>460000</v>
      </c>
      <c r="I11" s="44"/>
    </row>
    <row r="12" spans="1:9" ht="21" x14ac:dyDescent="0.35">
      <c r="A12" s="35" t="s">
        <v>21</v>
      </c>
      <c r="B12" s="36">
        <v>10000</v>
      </c>
      <c r="E12" s="4" t="s">
        <v>138</v>
      </c>
      <c r="F12" s="11">
        <v>9000</v>
      </c>
      <c r="I12" s="44"/>
    </row>
    <row r="13" spans="1:9" ht="21" x14ac:dyDescent="0.35">
      <c r="A13" s="40" t="s">
        <v>23</v>
      </c>
      <c r="B13" s="41">
        <v>80000</v>
      </c>
      <c r="E13" s="4" t="s">
        <v>139</v>
      </c>
      <c r="F13" s="11">
        <v>40000</v>
      </c>
      <c r="I13" s="44"/>
    </row>
    <row r="14" spans="1:9" ht="21" x14ac:dyDescent="0.35">
      <c r="A14" s="35" t="s">
        <v>25</v>
      </c>
      <c r="B14" s="36">
        <v>9000</v>
      </c>
      <c r="E14" s="4" t="s">
        <v>140</v>
      </c>
      <c r="G14" s="11">
        <f>+F11-F12-F13</f>
        <v>411000</v>
      </c>
      <c r="I14" s="44"/>
    </row>
    <row r="15" spans="1:9" ht="21" x14ac:dyDescent="0.35">
      <c r="A15" s="35" t="s">
        <v>27</v>
      </c>
      <c r="B15" s="36">
        <v>40000</v>
      </c>
      <c r="E15" s="4" t="s">
        <v>141</v>
      </c>
      <c r="G15" s="11">
        <v>120000</v>
      </c>
      <c r="I15" s="44"/>
    </row>
    <row r="16" spans="1:9" ht="21" x14ac:dyDescent="0.35">
      <c r="A16" s="35" t="s">
        <v>29</v>
      </c>
      <c r="B16" s="36">
        <v>95000</v>
      </c>
      <c r="E16" s="4" t="s">
        <v>142</v>
      </c>
      <c r="G16" s="11">
        <v>80000</v>
      </c>
    </row>
    <row r="17" spans="1:9" ht="21" x14ac:dyDescent="0.35">
      <c r="A17" s="35" t="s">
        <v>31</v>
      </c>
      <c r="B17" s="36">
        <v>190000</v>
      </c>
      <c r="E17" s="4" t="s">
        <v>22</v>
      </c>
      <c r="G17" s="48"/>
      <c r="H17" s="48"/>
      <c r="I17" s="49">
        <f>+G14+G15-G16</f>
        <v>451000</v>
      </c>
    </row>
    <row r="18" spans="1:9" ht="21" x14ac:dyDescent="0.35">
      <c r="A18" s="35" t="s">
        <v>34</v>
      </c>
      <c r="B18" s="35"/>
      <c r="E18" s="4" t="s">
        <v>83</v>
      </c>
      <c r="I18" s="47">
        <f>+I8-I17</f>
        <v>2884000</v>
      </c>
    </row>
    <row r="19" spans="1:9" ht="21" x14ac:dyDescent="0.35">
      <c r="A19" s="35"/>
      <c r="B19" s="35"/>
      <c r="E19" s="4" t="s">
        <v>9</v>
      </c>
      <c r="I19" s="47">
        <v>20000</v>
      </c>
    </row>
    <row r="20" spans="1:9" ht="21" x14ac:dyDescent="0.35">
      <c r="A20" s="35"/>
      <c r="B20" s="35"/>
      <c r="E20" s="4" t="s">
        <v>28</v>
      </c>
      <c r="I20" s="47">
        <v>3500</v>
      </c>
    </row>
    <row r="21" spans="1:9" ht="21" x14ac:dyDescent="0.35">
      <c r="A21" s="35"/>
      <c r="B21" s="35"/>
      <c r="E21" s="4" t="s">
        <v>90</v>
      </c>
      <c r="I21" s="47">
        <f>+I18+I19+I20</f>
        <v>2907500</v>
      </c>
    </row>
    <row r="22" spans="1:9" ht="21" x14ac:dyDescent="0.35">
      <c r="A22" s="35"/>
      <c r="B22" s="35"/>
      <c r="E22" s="4" t="s">
        <v>143</v>
      </c>
      <c r="H22" s="11">
        <v>8900</v>
      </c>
      <c r="I22" s="47"/>
    </row>
    <row r="23" spans="1:9" ht="21" x14ac:dyDescent="0.35">
      <c r="A23" s="35"/>
      <c r="B23" s="35"/>
      <c r="E23" s="4" t="s">
        <v>29</v>
      </c>
      <c r="H23" s="11">
        <v>95000</v>
      </c>
      <c r="I23" s="47"/>
    </row>
    <row r="24" spans="1:9" ht="21" x14ac:dyDescent="0.35">
      <c r="A24" s="35"/>
      <c r="B24" s="35"/>
      <c r="E24" s="4" t="s">
        <v>144</v>
      </c>
      <c r="H24" s="11">
        <v>190000</v>
      </c>
      <c r="I24" s="47">
        <f>+H22+H23+H24</f>
        <v>293900</v>
      </c>
    </row>
    <row r="25" spans="1:9" ht="21" x14ac:dyDescent="0.35">
      <c r="A25" s="35"/>
      <c r="B25" s="35"/>
      <c r="E25" s="15" t="s">
        <v>145</v>
      </c>
      <c r="F25" s="16"/>
      <c r="G25" s="16"/>
      <c r="H25" s="16"/>
      <c r="I25" s="52">
        <f>+I21-I24</f>
        <v>2613600</v>
      </c>
    </row>
    <row r="26" spans="1:9" ht="21" x14ac:dyDescent="0.35">
      <c r="A26" s="35"/>
      <c r="B26" s="35"/>
      <c r="E26" s="4" t="s">
        <v>38</v>
      </c>
      <c r="I26" s="47">
        <f>+I25*0.3</f>
        <v>784080</v>
      </c>
    </row>
    <row r="27" spans="1:9" ht="21.75" thickBot="1" x14ac:dyDescent="0.4">
      <c r="A27" s="35"/>
      <c r="B27" s="37"/>
      <c r="E27" s="5" t="s">
        <v>39</v>
      </c>
      <c r="F27" s="6"/>
      <c r="G27" s="6"/>
      <c r="H27" s="6"/>
      <c r="I27" s="53">
        <f>+I25-I26</f>
        <v>1829520</v>
      </c>
    </row>
  </sheetData>
  <mergeCells count="3">
    <mergeCell ref="A2:B2"/>
    <mergeCell ref="E1:I1"/>
    <mergeCell ref="E2:I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0DF01-1F70-417F-A425-BEE933021BD7}">
  <dimension ref="A1:P29"/>
  <sheetViews>
    <sheetView topLeftCell="C13" workbookViewId="0">
      <selection activeCell="F17" sqref="F17"/>
    </sheetView>
  </sheetViews>
  <sheetFormatPr baseColWidth="10" defaultColWidth="11.42578125" defaultRowHeight="15" x14ac:dyDescent="0.25"/>
  <cols>
    <col min="1" max="1" width="41.7109375" bestFit="1" customWidth="1"/>
    <col min="2" max="2" width="15.42578125" bestFit="1" customWidth="1"/>
    <col min="5" max="5" width="22" bestFit="1" customWidth="1"/>
  </cols>
  <sheetData>
    <row r="1" spans="1:10" ht="21" x14ac:dyDescent="0.35">
      <c r="A1" s="80" t="s">
        <v>146</v>
      </c>
      <c r="B1" s="80"/>
      <c r="E1" s="79" t="s">
        <v>147</v>
      </c>
      <c r="F1" s="79"/>
      <c r="G1" s="79"/>
      <c r="H1" s="79"/>
      <c r="I1" s="79"/>
    </row>
    <row r="2" spans="1:10" ht="21" x14ac:dyDescent="0.35">
      <c r="A2" s="35" t="s">
        <v>5</v>
      </c>
      <c r="B2" s="36">
        <v>7900</v>
      </c>
      <c r="E2" s="79" t="s">
        <v>132</v>
      </c>
      <c r="F2" s="79"/>
      <c r="G2" s="79"/>
      <c r="H2" s="79"/>
      <c r="I2" s="79"/>
    </row>
    <row r="3" spans="1:10" ht="21.75" thickBot="1" x14ac:dyDescent="0.4">
      <c r="A3" s="50" t="s">
        <v>7</v>
      </c>
      <c r="B3" s="51">
        <v>4500</v>
      </c>
      <c r="E3" s="83" t="s">
        <v>104</v>
      </c>
      <c r="F3" s="83"/>
      <c r="G3" s="83"/>
      <c r="H3" s="83"/>
      <c r="I3" s="83"/>
    </row>
    <row r="4" spans="1:10" ht="21" x14ac:dyDescent="0.35">
      <c r="A4" s="50" t="s">
        <v>9</v>
      </c>
      <c r="B4" s="51">
        <v>12000</v>
      </c>
      <c r="E4" s="3" t="s">
        <v>2</v>
      </c>
      <c r="F4" s="42"/>
      <c r="G4" s="42"/>
      <c r="H4" s="10">
        <v>1850000</v>
      </c>
      <c r="I4" s="43"/>
    </row>
    <row r="5" spans="1:10" ht="21" x14ac:dyDescent="0.35">
      <c r="A5" s="50" t="s">
        <v>1</v>
      </c>
      <c r="B5" s="60">
        <v>520000</v>
      </c>
      <c r="E5" s="4" t="s">
        <v>1</v>
      </c>
      <c r="H5" s="11">
        <v>520000</v>
      </c>
      <c r="I5" s="44"/>
      <c r="J5" s="11"/>
    </row>
    <row r="6" spans="1:10" ht="21" x14ac:dyDescent="0.35">
      <c r="A6" s="50" t="s">
        <v>2</v>
      </c>
      <c r="B6" s="60">
        <v>1850000</v>
      </c>
      <c r="E6" s="15" t="s">
        <v>3</v>
      </c>
      <c r="H6" s="21">
        <f>+H4+H5</f>
        <v>2370000</v>
      </c>
      <c r="I6" s="44"/>
    </row>
    <row r="7" spans="1:10" ht="21" x14ac:dyDescent="0.35">
      <c r="A7" s="65" t="s">
        <v>13</v>
      </c>
      <c r="B7" s="66">
        <v>110000</v>
      </c>
      <c r="E7" s="4" t="s">
        <v>148</v>
      </c>
      <c r="G7" s="11">
        <v>48000</v>
      </c>
      <c r="I7" s="44"/>
    </row>
    <row r="8" spans="1:10" ht="21" x14ac:dyDescent="0.35">
      <c r="A8" s="50" t="s">
        <v>15</v>
      </c>
      <c r="B8" s="51">
        <v>20000</v>
      </c>
      <c r="E8" s="4" t="s">
        <v>149</v>
      </c>
      <c r="G8" s="45">
        <v>20000</v>
      </c>
      <c r="H8" s="45">
        <f>+G7+G8</f>
        <v>68000</v>
      </c>
      <c r="I8" s="46"/>
    </row>
    <row r="9" spans="1:10" ht="21" x14ac:dyDescent="0.35">
      <c r="A9" s="50" t="s">
        <v>17</v>
      </c>
      <c r="B9" s="51">
        <v>48000</v>
      </c>
      <c r="E9" s="15" t="s">
        <v>54</v>
      </c>
      <c r="F9" s="16"/>
      <c r="G9" s="16"/>
      <c r="H9" s="21"/>
      <c r="I9" s="52">
        <f>+H6-H8</f>
        <v>2302000</v>
      </c>
    </row>
    <row r="10" spans="1:10" ht="21" x14ac:dyDescent="0.35">
      <c r="A10" s="61" t="s">
        <v>19</v>
      </c>
      <c r="B10" s="62">
        <v>658000</v>
      </c>
      <c r="E10" s="4" t="s">
        <v>150</v>
      </c>
      <c r="F10" s="11">
        <v>658000</v>
      </c>
      <c r="I10" s="44"/>
    </row>
    <row r="11" spans="1:10" ht="21" x14ac:dyDescent="0.35">
      <c r="A11" s="61" t="s">
        <v>21</v>
      </c>
      <c r="B11" s="62">
        <v>10000</v>
      </c>
      <c r="E11" s="4" t="s">
        <v>11</v>
      </c>
      <c r="F11" s="11">
        <v>10000</v>
      </c>
      <c r="I11" s="44"/>
    </row>
    <row r="12" spans="1:10" ht="21" x14ac:dyDescent="0.35">
      <c r="A12" s="63" t="s">
        <v>23</v>
      </c>
      <c r="B12" s="64">
        <v>70000</v>
      </c>
      <c r="E12" s="15" t="s">
        <v>62</v>
      </c>
      <c r="F12" s="21">
        <f>+F10+F11</f>
        <v>668000</v>
      </c>
      <c r="I12" s="44"/>
    </row>
    <row r="13" spans="1:10" ht="21" x14ac:dyDescent="0.35">
      <c r="A13" s="61" t="s">
        <v>25</v>
      </c>
      <c r="B13" s="62">
        <v>10000</v>
      </c>
      <c r="E13" s="4" t="s">
        <v>138</v>
      </c>
      <c r="F13" s="11">
        <v>10000</v>
      </c>
      <c r="G13" s="11"/>
      <c r="I13" s="44"/>
    </row>
    <row r="14" spans="1:10" ht="21" x14ac:dyDescent="0.35">
      <c r="A14" s="61" t="s">
        <v>27</v>
      </c>
      <c r="B14" s="62">
        <v>45000</v>
      </c>
      <c r="E14" s="4" t="s">
        <v>151</v>
      </c>
      <c r="F14" s="11">
        <v>45000</v>
      </c>
      <c r="G14" s="11"/>
      <c r="I14" s="44"/>
    </row>
    <row r="15" spans="1:10" ht="21" x14ac:dyDescent="0.35">
      <c r="A15" s="35" t="s">
        <v>29</v>
      </c>
      <c r="B15" s="36">
        <v>105000</v>
      </c>
      <c r="E15" s="15" t="s">
        <v>152</v>
      </c>
      <c r="F15" s="21">
        <f>+F12-F13-F14</f>
        <v>613000</v>
      </c>
      <c r="I15" s="44"/>
    </row>
    <row r="16" spans="1:10" ht="21" x14ac:dyDescent="0.35">
      <c r="A16" s="35" t="s">
        <v>31</v>
      </c>
      <c r="B16" s="36">
        <v>195000</v>
      </c>
      <c r="E16" s="4" t="s">
        <v>153</v>
      </c>
      <c r="F16" s="11">
        <v>110000</v>
      </c>
      <c r="I16" s="44"/>
    </row>
    <row r="17" spans="1:16" ht="21" x14ac:dyDescent="0.35">
      <c r="A17" s="35"/>
      <c r="B17" s="35"/>
      <c r="E17" s="4" t="s">
        <v>154</v>
      </c>
      <c r="F17" s="11">
        <v>70000</v>
      </c>
      <c r="I17" s="44"/>
    </row>
    <row r="18" spans="1:16" ht="21" x14ac:dyDescent="0.35">
      <c r="A18" s="35" t="s">
        <v>34</v>
      </c>
      <c r="B18" s="37"/>
      <c r="E18" s="15" t="s">
        <v>22</v>
      </c>
      <c r="I18" s="52">
        <f>+F15+F16-F17</f>
        <v>653000</v>
      </c>
    </row>
    <row r="19" spans="1:16" x14ac:dyDescent="0.25">
      <c r="E19" s="15" t="s">
        <v>155</v>
      </c>
      <c r="F19" s="16"/>
      <c r="G19" s="16"/>
      <c r="H19" s="16"/>
      <c r="I19" s="52">
        <f>+I9-I18</f>
        <v>1649000</v>
      </c>
    </row>
    <row r="20" spans="1:16" x14ac:dyDescent="0.25">
      <c r="E20" s="4" t="s">
        <v>28</v>
      </c>
      <c r="H20" s="11">
        <v>4500</v>
      </c>
      <c r="I20" s="47"/>
    </row>
    <row r="21" spans="1:16" x14ac:dyDescent="0.25">
      <c r="E21" s="4" t="s">
        <v>26</v>
      </c>
      <c r="H21" s="11">
        <v>12000</v>
      </c>
      <c r="I21" s="47">
        <f>+H20+H21</f>
        <v>16500</v>
      </c>
    </row>
    <row r="22" spans="1:16" x14ac:dyDescent="0.25">
      <c r="E22" s="15" t="s">
        <v>156</v>
      </c>
      <c r="F22" s="16"/>
      <c r="G22" s="16"/>
      <c r="H22" s="16"/>
      <c r="I22" s="52">
        <f>+I19+I21</f>
        <v>1665500</v>
      </c>
    </row>
    <row r="23" spans="1:16" x14ac:dyDescent="0.25">
      <c r="E23" s="4" t="s">
        <v>33</v>
      </c>
      <c r="H23" s="11">
        <v>7900</v>
      </c>
      <c r="I23" s="44"/>
    </row>
    <row r="24" spans="1:16" x14ac:dyDescent="0.25">
      <c r="E24" s="4" t="s">
        <v>36</v>
      </c>
      <c r="H24" s="11">
        <v>195000</v>
      </c>
      <c r="I24" s="44"/>
    </row>
    <row r="25" spans="1:16" x14ac:dyDescent="0.25">
      <c r="E25" s="4" t="s">
        <v>157</v>
      </c>
      <c r="H25" s="11">
        <v>105000</v>
      </c>
      <c r="I25" s="47">
        <f>+H23+H24+H25</f>
        <v>307900</v>
      </c>
    </row>
    <row r="26" spans="1:16" x14ac:dyDescent="0.25">
      <c r="E26" s="15" t="s">
        <v>145</v>
      </c>
      <c r="F26" s="16"/>
      <c r="G26" s="16"/>
      <c r="H26" s="16"/>
      <c r="I26" s="52">
        <f>+I22-I25</f>
        <v>1357600</v>
      </c>
    </row>
    <row r="27" spans="1:16" x14ac:dyDescent="0.25">
      <c r="E27" s="4" t="s">
        <v>38</v>
      </c>
      <c r="I27" s="44">
        <f>+I26*0.3</f>
        <v>407280</v>
      </c>
      <c r="K27" t="s">
        <v>158</v>
      </c>
      <c r="L27" t="s">
        <v>159</v>
      </c>
      <c r="M27" t="s">
        <v>160</v>
      </c>
      <c r="N27" t="s">
        <v>161</v>
      </c>
      <c r="O27" t="s">
        <v>160</v>
      </c>
      <c r="P27" t="s">
        <v>162</v>
      </c>
    </row>
    <row r="28" spans="1:16" x14ac:dyDescent="0.25">
      <c r="E28" s="67" t="s">
        <v>39</v>
      </c>
      <c r="F28" s="68"/>
      <c r="G28" s="68"/>
      <c r="H28" s="68"/>
      <c r="I28" s="69">
        <f>+I26-I27</f>
        <v>950320</v>
      </c>
      <c r="K28" s="11">
        <v>350000</v>
      </c>
      <c r="L28" s="11">
        <v>850000</v>
      </c>
      <c r="M28" s="11">
        <v>150000</v>
      </c>
      <c r="N28" s="11">
        <v>80000</v>
      </c>
      <c r="O28" s="11">
        <v>30000</v>
      </c>
      <c r="P28" s="11">
        <v>110000</v>
      </c>
    </row>
    <row r="29" spans="1:16" ht="15.75" thickBot="1" x14ac:dyDescent="0.3">
      <c r="E29" s="5"/>
      <c r="F29" s="6"/>
      <c r="G29" s="6"/>
      <c r="H29" s="6"/>
      <c r="I29" s="55"/>
    </row>
  </sheetData>
  <mergeCells count="4">
    <mergeCell ref="A1:B1"/>
    <mergeCell ref="E1:I1"/>
    <mergeCell ref="E2:I2"/>
    <mergeCell ref="E3:I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5ABB72A623C245B9EB7EBC355BFF2F" ma:contentTypeVersion="3" ma:contentTypeDescription="Crear nuevo documento." ma:contentTypeScope="" ma:versionID="8e037a4b2d30c08bda41628cb0c5d5e7">
  <xsd:schema xmlns:xsd="http://www.w3.org/2001/XMLSchema" xmlns:xs="http://www.w3.org/2001/XMLSchema" xmlns:p="http://schemas.microsoft.com/office/2006/metadata/properties" xmlns:ns2="96139ef0-2e9c-4c00-860d-72ac38793b52" targetNamespace="http://schemas.microsoft.com/office/2006/metadata/properties" ma:root="true" ma:fieldsID="6711682e597896a8617a9e616cb9abad" ns2:_="">
    <xsd:import namespace="96139ef0-2e9c-4c00-860d-72ac38793b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39ef0-2e9c-4c00-860d-72ac38793b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0B67CA-3A54-4179-93E6-1379D401AFD4}">
  <ds:schemaRefs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96139ef0-2e9c-4c00-860d-72ac38793b5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686C922-97C3-4C43-90C9-AFC0E853F5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A11F90-1224-42C0-9ADC-53D15944C3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139ef0-2e9c-4c00-860d-72ac38793b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SALDAÑA CUENTAS BALANCE</vt:lpstr>
      <vt:lpstr>CIA CAPRICORNIO BALANCE</vt:lpstr>
      <vt:lpstr>SALDAÑA</vt:lpstr>
      <vt:lpstr>CIA CAPRICORNIO RESULTADOS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Citlalli</dc:creator>
  <cp:keywords/>
  <dc:description/>
  <cp:lastModifiedBy>GAEL ADRIAN DE SANTIAGO URIBE</cp:lastModifiedBy>
  <cp:revision/>
  <dcterms:created xsi:type="dcterms:W3CDTF">2021-10-07T15:37:27Z</dcterms:created>
  <dcterms:modified xsi:type="dcterms:W3CDTF">2025-11-18T06:51:47Z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0x010100E75ABB72A623C245B9EB7EBC355BFF2F</vt:lpwstr>
  </property>
</Properties>
</file>